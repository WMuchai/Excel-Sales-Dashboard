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Trainings\Data Breed Africa\Data Analytics Program\Excel\Data Sets\"/>
    </mc:Choice>
  </mc:AlternateContent>
  <bookViews>
    <workbookView xWindow="0" yWindow="0" windowWidth="19200" windowHeight="8300" activeTab="1"/>
  </bookViews>
  <sheets>
    <sheet name="UrbanMart Sales Jan 2025(Orig)" sheetId="2" r:id="rId1"/>
    <sheet name="Cleaned Data" sheetId="5" r:id="rId2"/>
    <sheet name="Cleaned_Data" sheetId="4" r:id="rId3"/>
    <sheet name="Sheet2" sheetId="3" r:id="rId4"/>
  </sheets>
  <definedNames>
    <definedName name="_xlnm._FilterDatabase" localSheetId="1" hidden="1">'Cleaned Data'!$A$1:$J$35</definedName>
    <definedName name="_xlnm._FilterDatabase" localSheetId="0" hidden="1">'UrbanMart Sales Jan 2025(Orig)'!$A$1:$P$36</definedName>
    <definedName name="_xlcn.WorksheetConnection_urbanmart_sales_jan2025.xlsxTable11" hidden="1">Table1[]</definedName>
    <definedName name="_xlcn.WorksheetConnection_urbanmart_sales_jan2025.xlsxTable131" hidden="1">Table13[]</definedName>
    <definedName name="NativeTimeline_Order_date_2">#N/A</definedName>
    <definedName name="Slicer_Channel">#N/A</definedName>
  </definedNames>
  <calcPr calcId="162913"/>
  <pivotCaches>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FCE2AD5D-F65C-4FA6-A056-5C36A1767C68}">
      <x15:dataModel>
        <x15:modelTables>
          <x15:modelTable id="Table13" name="Table13" connection="WorksheetConnection_urbanmart_sales_jan2025.xlsx!Table13"/>
          <x15:modelTable id="Table1" name="Table1" connection="WorksheetConnection_urbanmart_sales_jan2025.xlsx!Table1"/>
        </x15:modelTables>
      </x15:dataModel>
    </ext>
  </extLst>
</workbook>
</file>

<file path=xl/calcChain.xml><?xml version="1.0" encoding="utf-8"?>
<calcChain xmlns="http://schemas.openxmlformats.org/spreadsheetml/2006/main">
  <c r="I12" i="2" l="1"/>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F3" i="5" l="1"/>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2" i="5"/>
  <c r="I3" i="2"/>
  <c r="I4" i="2"/>
  <c r="I5" i="2"/>
  <c r="I6" i="2"/>
  <c r="I7" i="2"/>
  <c r="I8" i="2"/>
  <c r="I9" i="2"/>
  <c r="I10" i="2"/>
  <c r="I11" i="2"/>
  <c r="I13" i="2"/>
  <c r="I14" i="2"/>
  <c r="I15" i="2"/>
  <c r="I16" i="2"/>
  <c r="I17" i="2"/>
  <c r="I18" i="2"/>
  <c r="I19" i="2"/>
  <c r="I20" i="2"/>
  <c r="I21" i="2"/>
  <c r="I22" i="2"/>
  <c r="I23" i="2"/>
  <c r="I24" i="2"/>
  <c r="I25" i="2"/>
  <c r="I26" i="2"/>
  <c r="I27" i="2"/>
  <c r="I28" i="2"/>
  <c r="I29" i="2"/>
  <c r="I30" i="2"/>
  <c r="I31" i="2"/>
  <c r="I32" i="2"/>
  <c r="I33" i="2"/>
  <c r="I34" i="2"/>
  <c r="I35" i="2"/>
  <c r="I36" i="2"/>
  <c r="I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2" i="2"/>
  <c r="J2" i="3" l="1"/>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urbanmart_sales_jan2025.xlsx!Table1" type="102" refreshedVersion="6" minRefreshableVersion="5">
    <extLst>
      <ext xmlns:x15="http://schemas.microsoft.com/office/spreadsheetml/2010/11/main" uri="{DE250136-89BD-433C-8126-D09CA5730AF9}">
        <x15:connection id="Table1">
          <x15:rangePr sourceName="_xlcn.WorksheetConnection_urbanmart_sales_jan2025.xlsxTable11"/>
        </x15:connection>
      </ext>
    </extLst>
  </connection>
  <connection id="3" name="WorksheetConnection_urbanmart_sales_jan2025.xlsx!Table13" type="102" refreshedVersion="6" minRefreshableVersion="5">
    <extLst>
      <ext xmlns:x15="http://schemas.microsoft.com/office/spreadsheetml/2010/11/main" uri="{DE250136-89BD-433C-8126-D09CA5730AF9}">
        <x15:connection id="Table13" autoDelete="1">
          <x15:rangePr sourceName="_xlcn.WorksheetConnection_urbanmart_sales_jan2025.xlsxTable131"/>
        </x15:connection>
      </ext>
    </extLst>
  </connection>
</connections>
</file>

<file path=xl/sharedStrings.xml><?xml version="1.0" encoding="utf-8"?>
<sst xmlns="http://schemas.openxmlformats.org/spreadsheetml/2006/main" count="935" uniqueCount="220">
  <si>
    <t>OrderID</t>
  </si>
  <si>
    <t>OrderDate</t>
  </si>
  <si>
    <t>Region</t>
  </si>
  <si>
    <t>CustomerName</t>
  </si>
  <si>
    <t>Category</t>
  </si>
  <si>
    <t>Product</t>
  </si>
  <si>
    <t>SalesAmount</t>
  </si>
  <si>
    <t>Quantity</t>
  </si>
  <si>
    <t>Channel</t>
  </si>
  <si>
    <t>ORD001</t>
  </si>
  <si>
    <t>2025-01-05</t>
  </si>
  <si>
    <t>Nairobi</t>
  </si>
  <si>
    <t xml:space="preserve">  John   Mwangi </t>
  </si>
  <si>
    <t>Electronics</t>
  </si>
  <si>
    <t>Smartphone</t>
  </si>
  <si>
    <t>120000</t>
  </si>
  <si>
    <t>Online</t>
  </si>
  <si>
    <t>ORD002</t>
  </si>
  <si>
    <t>05/01/2025</t>
  </si>
  <si>
    <t>nairobi</t>
  </si>
  <si>
    <t>Mary Wanjiku</t>
  </si>
  <si>
    <t>Laptop</t>
  </si>
  <si>
    <t>Ksh 85,000</t>
  </si>
  <si>
    <t>In-store</t>
  </si>
  <si>
    <t>ORD003</t>
  </si>
  <si>
    <t>2025/01/07</t>
  </si>
  <si>
    <t>Mombasa</t>
  </si>
  <si>
    <t>Peter Otieno</t>
  </si>
  <si>
    <t>Home</t>
  </si>
  <si>
    <t>Microwave</t>
  </si>
  <si>
    <t xml:space="preserve">45000 </t>
  </si>
  <si>
    <t>ORD004</t>
  </si>
  <si>
    <t>2025-01-08</t>
  </si>
  <si>
    <t>Kisumu</t>
  </si>
  <si>
    <t>Grace  Achieng</t>
  </si>
  <si>
    <t>Blender</t>
  </si>
  <si>
    <t xml:space="preserve"> 15000</t>
  </si>
  <si>
    <t>ORD005</t>
  </si>
  <si>
    <t>08-01-2025</t>
  </si>
  <si>
    <t>Nakuru</t>
  </si>
  <si>
    <t>Samuel Kiptoo</t>
  </si>
  <si>
    <t>Headphones</t>
  </si>
  <si>
    <t>8000</t>
  </si>
  <si>
    <t>ORD006</t>
  </si>
  <si>
    <t>2025-01-10</t>
  </si>
  <si>
    <t>Lucy Njeri</t>
  </si>
  <si>
    <t>Clothing</t>
  </si>
  <si>
    <t>T-Shirt</t>
  </si>
  <si>
    <t>2500</t>
  </si>
  <si>
    <t>ORD007</t>
  </si>
  <si>
    <t>2025-01-11</t>
  </si>
  <si>
    <t>NAIROBI</t>
  </si>
  <si>
    <t>James Kariuki</t>
  </si>
  <si>
    <t>Jeans</t>
  </si>
  <si>
    <t xml:space="preserve"> 5500 </t>
  </si>
  <si>
    <t>ORD008</t>
  </si>
  <si>
    <t>11/01/2025</t>
  </si>
  <si>
    <t>Fatuma Ali</t>
  </si>
  <si>
    <t>Dress</t>
  </si>
  <si>
    <t>Ksh 6,500</t>
  </si>
  <si>
    <t>ORD009</t>
  </si>
  <si>
    <t>2025-01-12</t>
  </si>
  <si>
    <t xml:space="preserve">   Brian Odhiambo</t>
  </si>
  <si>
    <t>118000</t>
  </si>
  <si>
    <t>ORD010</t>
  </si>
  <si>
    <t>2025-01-13</t>
  </si>
  <si>
    <t>Anne Chebet</t>
  </si>
  <si>
    <t>Kettle</t>
  </si>
  <si>
    <t>3500</t>
  </si>
  <si>
    <t>ORD011</t>
  </si>
  <si>
    <t>2025-01-14</t>
  </si>
  <si>
    <t>David Kimani</t>
  </si>
  <si>
    <t>Tablet</t>
  </si>
  <si>
    <t>ORD012</t>
  </si>
  <si>
    <t>14/01/2025</t>
  </si>
  <si>
    <t>Aisha Mohammed</t>
  </si>
  <si>
    <t>Toaster</t>
  </si>
  <si>
    <t xml:space="preserve"> 2800 </t>
  </si>
  <si>
    <t>ORD013</t>
  </si>
  <si>
    <t>2025/01/15</t>
  </si>
  <si>
    <t>Kevin Ouma</t>
  </si>
  <si>
    <t>Shirt</t>
  </si>
  <si>
    <t>3000</t>
  </si>
  <si>
    <t>ORD014</t>
  </si>
  <si>
    <t>2025-01-16</t>
  </si>
  <si>
    <t>Faith  Jepchirchir</t>
  </si>
  <si>
    <t>95000</t>
  </si>
  <si>
    <t>ORD015</t>
  </si>
  <si>
    <t>16-01-2025</t>
  </si>
  <si>
    <t>Paul Mutiso</t>
  </si>
  <si>
    <t xml:space="preserve"> Vacuum Cleaner </t>
  </si>
  <si>
    <t>22000</t>
  </si>
  <si>
    <t>ORD016</t>
  </si>
  <si>
    <t>2025-01-18</t>
  </si>
  <si>
    <t>Hassan Omar</t>
  </si>
  <si>
    <t>Ksh 110,000</t>
  </si>
  <si>
    <t>ORD017</t>
  </si>
  <si>
    <t>Jane Anyango</t>
  </si>
  <si>
    <t>Skirt</t>
  </si>
  <si>
    <t>2700</t>
  </si>
  <si>
    <t>ORD018</t>
  </si>
  <si>
    <t>18/01/2025</t>
  </si>
  <si>
    <t>Mark Rotich</t>
  </si>
  <si>
    <t>Iron Box</t>
  </si>
  <si>
    <t xml:space="preserve"> 4000</t>
  </si>
  <si>
    <t>ORD019</t>
  </si>
  <si>
    <t>2025-01-20</t>
  </si>
  <si>
    <t xml:space="preserve">  Irene   Wambui</t>
  </si>
  <si>
    <t>7500</t>
  </si>
  <si>
    <t>ORD020</t>
  </si>
  <si>
    <t>2025-01-21</t>
  </si>
  <si>
    <t>Ali Said</t>
  </si>
  <si>
    <t>47000</t>
  </si>
  <si>
    <t>ORD021</t>
  </si>
  <si>
    <t>2025/01/22</t>
  </si>
  <si>
    <t>George Odongo</t>
  </si>
  <si>
    <t>39000</t>
  </si>
  <si>
    <t>ORD022</t>
  </si>
  <si>
    <t>22-01-2025</t>
  </si>
  <si>
    <t>Joyce Chepngeno</t>
  </si>
  <si>
    <t>Jacket</t>
  </si>
  <si>
    <t>Ksh 6,800</t>
  </si>
  <si>
    <t>ORD023</t>
  </si>
  <si>
    <t>2025-01-23</t>
  </si>
  <si>
    <t>Michael   Kamau</t>
  </si>
  <si>
    <t>3200</t>
  </si>
  <si>
    <t>ORD024</t>
  </si>
  <si>
    <t>2025-01-24</t>
  </si>
  <si>
    <t>Zainab Noor</t>
  </si>
  <si>
    <t>102000</t>
  </si>
  <si>
    <t>ORD025</t>
  </si>
  <si>
    <t>24/01/2025</t>
  </si>
  <si>
    <t>Andrew Otieno</t>
  </si>
  <si>
    <t>16000</t>
  </si>
  <si>
    <t>ORD026</t>
  </si>
  <si>
    <t>2025-01-25</t>
  </si>
  <si>
    <t>Ruth   Kosgei</t>
  </si>
  <si>
    <t>115000</t>
  </si>
  <si>
    <t>ORD027</t>
  </si>
  <si>
    <t>2025-01-26</t>
  </si>
  <si>
    <t>Simon Mwenda</t>
  </si>
  <si>
    <t>5600</t>
  </si>
  <si>
    <t>ORD028</t>
  </si>
  <si>
    <t>2025-01-27</t>
  </si>
  <si>
    <t>Sarah Juma</t>
  </si>
  <si>
    <t>6500</t>
  </si>
  <si>
    <t>ORD029</t>
  </si>
  <si>
    <t>2025/01/28</t>
  </si>
  <si>
    <t>Patrick Oloo</t>
  </si>
  <si>
    <t>Vacuum Cleaner</t>
  </si>
  <si>
    <t>21000</t>
  </si>
  <si>
    <t>ORD030</t>
  </si>
  <si>
    <t>28-01-2025</t>
  </si>
  <si>
    <t>Esther  Chelimo</t>
  </si>
  <si>
    <t>-5000</t>
  </si>
  <si>
    <t>ORD031</t>
  </si>
  <si>
    <t>2025-01-29</t>
  </si>
  <si>
    <t>Brian Karanja</t>
  </si>
  <si>
    <t>40000</t>
  </si>
  <si>
    <t>ORD032</t>
  </si>
  <si>
    <t>2025-01-30</t>
  </si>
  <si>
    <t>Halima Yusuf</t>
  </si>
  <si>
    <t>ORD033</t>
  </si>
  <si>
    <t>30/01/2025</t>
  </si>
  <si>
    <t>Tom Onyango</t>
  </si>
  <si>
    <t>ORD034</t>
  </si>
  <si>
    <t>2025-01-31</t>
  </si>
  <si>
    <t>Daniel Kipkirui</t>
  </si>
  <si>
    <t>98000</t>
  </si>
  <si>
    <t>ORD035</t>
  </si>
  <si>
    <t>2025-02-01</t>
  </si>
  <si>
    <t xml:space="preserve">  Mercy   Wairimu</t>
  </si>
  <si>
    <t>3800</t>
  </si>
  <si>
    <t>Order Date</t>
  </si>
  <si>
    <t>05-01-2025</t>
  </si>
  <si>
    <t>07-01-2025</t>
  </si>
  <si>
    <t>10-01-2025</t>
  </si>
  <si>
    <t>11-01-2025</t>
  </si>
  <si>
    <t>12-01-2025</t>
  </si>
  <si>
    <t>13-01-2025</t>
  </si>
  <si>
    <t>14-01-2025</t>
  </si>
  <si>
    <t>15-01-2025</t>
  </si>
  <si>
    <t>18-01-2025</t>
  </si>
  <si>
    <t>20-01-2025</t>
  </si>
  <si>
    <t>21-01-2025</t>
  </si>
  <si>
    <t>23-01-2025</t>
  </si>
  <si>
    <t>24-01-2025</t>
  </si>
  <si>
    <t>25-01-2025</t>
  </si>
  <si>
    <t>26-01-2025</t>
  </si>
  <si>
    <t>27-01-2025</t>
  </si>
  <si>
    <t>29-01-2025</t>
  </si>
  <si>
    <t>30-01-2025</t>
  </si>
  <si>
    <t>31-01-2025</t>
  </si>
  <si>
    <t>01-02-2025</t>
  </si>
  <si>
    <t>Sales_Amount</t>
  </si>
  <si>
    <t>Customer's Name</t>
  </si>
  <si>
    <t>John Mwangi</t>
  </si>
  <si>
    <t>Grace Achieng</t>
  </si>
  <si>
    <t>Brian Odhiambo</t>
  </si>
  <si>
    <t>Faith Jepchirchir</t>
  </si>
  <si>
    <t>Irene Wambui</t>
  </si>
  <si>
    <t>Michael Kamau</t>
  </si>
  <si>
    <t>Ruth Kosgei</t>
  </si>
  <si>
    <t>Esther Chelimo</t>
  </si>
  <si>
    <t>Mercy Wairimu</t>
  </si>
  <si>
    <t>Column1</t>
  </si>
  <si>
    <t>Order_Date</t>
  </si>
  <si>
    <t>Customer_Name</t>
  </si>
  <si>
    <t>P.Category</t>
  </si>
  <si>
    <t>P_Category</t>
  </si>
  <si>
    <t>Row Labels</t>
  </si>
  <si>
    <t>Grand Total</t>
  </si>
  <si>
    <t>Sum of Sales_Amount</t>
  </si>
  <si>
    <t>SALES BY CATEGORY</t>
  </si>
  <si>
    <t>Order_date(2)</t>
  </si>
  <si>
    <t>Feb</t>
  </si>
  <si>
    <t>Jan</t>
  </si>
  <si>
    <t>Average of Sales_Amount</t>
  </si>
  <si>
    <t>Mini-Pivot Report on Sales for January and February</t>
  </si>
  <si>
    <t>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</si>
</sst>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F800]dddd\,\ mmmm\ dd\,\ yyyy"/>
    <numFmt numFmtId="165" formatCode="0;[Red]0"/>
  </numFmts>
  <fonts count="4" x14ac:knownFonts="1">
    <font>
      <sz val="11"/>
      <color theme="1"/>
      <name val="Calibri"/>
      <family val="2"/>
      <scheme val="minor"/>
    </font>
    <font>
      <b/>
      <sz val="12"/>
      <color theme="1"/>
      <name val="Calibri"/>
      <family val="2"/>
      <scheme val="minor"/>
    </font>
    <font>
      <b/>
      <sz val="16"/>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4">
    <xf numFmtId="0" fontId="0" fillId="0" borderId="0" xfId="0"/>
    <xf numFmtId="164" fontId="0" fillId="0" borderId="0" xfId="0" applyNumberFormat="1"/>
    <xf numFmtId="0" fontId="1" fillId="0" borderId="0" xfId="0" applyFont="1"/>
    <xf numFmtId="0" fontId="0" fillId="0" borderId="0" xfId="0" applyBorder="1"/>
    <xf numFmtId="49" fontId="0" fillId="0" borderId="0" xfId="0" applyNumberFormat="1" applyBorder="1"/>
    <xf numFmtId="49" fontId="0" fillId="0" borderId="0" xfId="0" applyNumberFormat="1"/>
    <xf numFmtId="0" fontId="0" fillId="0" borderId="0" xfId="0" applyFill="1" applyBorder="1"/>
    <xf numFmtId="1" fontId="0" fillId="0" borderId="0" xfId="0" applyNumberFormat="1" applyBorder="1"/>
    <xf numFmtId="1" fontId="0" fillId="0" borderId="0" xfId="0" applyNumberFormat="1"/>
    <xf numFmtId="0" fontId="1" fillId="0" borderId="0" xfId="0" applyFont="1" applyBorder="1"/>
    <xf numFmtId="49" fontId="1" fillId="0" borderId="0" xfId="0" applyNumberFormat="1" applyFont="1" applyBorder="1"/>
    <xf numFmtId="1" fontId="1" fillId="0" borderId="0" xfId="0" applyNumberFormat="1" applyFont="1" applyBorder="1"/>
    <xf numFmtId="165" fontId="1" fillId="0" borderId="0" xfId="0" applyNumberFormat="1" applyFont="1" applyBorder="1"/>
    <xf numFmtId="165" fontId="0" fillId="0" borderId="0" xfId="0" applyNumberFormat="1" applyBorder="1"/>
    <xf numFmtId="165" fontId="0" fillId="0" borderId="0" xfId="0" applyNumberFormat="1"/>
    <xf numFmtId="164" fontId="1" fillId="0" borderId="0" xfId="0" applyNumberFormat="1" applyFont="1" applyBorder="1"/>
    <xf numFmtId="164" fontId="0" fillId="0" borderId="0" xfId="0" applyNumberFormat="1" applyBorder="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164" fontId="0" fillId="2" borderId="0" xfId="0" applyNumberFormat="1" applyFill="1"/>
    <xf numFmtId="0" fontId="3" fillId="0" borderId="0" xfId="0" applyFont="1"/>
    <xf numFmtId="0" fontId="0" fillId="0" borderId="0" xfId="0" applyAlignment="1">
      <alignment horizontal="center"/>
    </xf>
    <xf numFmtId="0" fontId="2" fillId="0" borderId="0" xfId="0" applyFont="1" applyAlignment="1">
      <alignment horizontal="center"/>
    </xf>
  </cellXfs>
  <cellStyles count="1">
    <cellStyle name="Normal" xfId="0" builtinId="0"/>
  </cellStyles>
  <dxfs count="15">
    <dxf>
      <numFmt numFmtId="0" formatCode="General"/>
    </dxf>
    <dxf>
      <numFmt numFmtId="30" formatCode="@"/>
    </dxf>
    <dxf>
      <numFmt numFmtId="1" formatCode="0"/>
    </dxf>
    <dxf>
      <numFmt numFmtId="165" formatCode="0;[Red]0"/>
    </dxf>
    <dxf>
      <numFmt numFmtId="30" formatCode="@"/>
    </dxf>
    <dxf>
      <numFmt numFmtId="164" formatCode="[$-F800]dddd\,\ mmmm\ dd\,\ yyyy"/>
    </dxf>
    <dxf>
      <border outline="0">
        <left style="medium">
          <color indexed="64"/>
        </left>
        <right style="medium">
          <color indexed="64"/>
        </right>
        <top style="medium">
          <color indexed="64"/>
        </top>
        <bottom style="medium">
          <color indexed="64"/>
        </bottom>
      </border>
    </dxf>
    <dxf>
      <numFmt numFmtId="30" formatCode="@"/>
    </dxf>
    <dxf>
      <numFmt numFmtId="1" formatCode="0"/>
    </dxf>
    <dxf>
      <numFmt numFmtId="165" formatCode="0;[Red]0"/>
    </dxf>
    <dxf>
      <numFmt numFmtId="30" formatCode="@"/>
    </dxf>
    <dxf>
      <numFmt numFmtId="164" formatCode="[$-F800]dddd\,\ mmmm\ dd\,\ yyyy"/>
    </dxf>
    <dxf>
      <border outline="0">
        <left style="medium">
          <color rgb="FF000000"/>
        </left>
        <right style="medium">
          <color rgb="FF000000"/>
        </right>
        <top style="medium">
          <color rgb="FF000000"/>
        </top>
        <bottom style="medium">
          <color rgb="FF000000"/>
        </bottom>
      </border>
    </dxf>
    <dxf>
      <numFmt numFmtId="164" formatCode="[$-F800]dddd\,\ mmmm\ dd\,\ yyyy"/>
    </dxf>
    <dxf>
      <numFmt numFmtId="164" formatCode="[$-F800]dddd\,\ mmmm\ dd\,\ 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[urbanmart_sales_jan2025.xlsx]Cleaned Data!PivotTable1</c:name>
    <c:fmtId val="0"/>
  </c:pivotSource>
  <c:chart>
    <c:title>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2"/>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'Cleaned Data'!$N$2</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'Cleaned Data'!$M$3:$M$7</c:f>
              <c:strCache>
                <c:ptCount val="4"/>
                <c:pt idx="0">
                  <c:v>Kisumu</c:v>
                </c:pt>
                <c:pt idx="1">
                  <c:v>Nairobi</c:v>
                </c:pt>
                <c:pt idx="2">
                  <c:v>Mombasa</c:v>
                </c:pt>
                <c:pt idx="3">
                  <c:v>Nakuru</c:v>
                </c:pt>
              </c:strCache>
            </c:strRef>
          </c:cat>
          <c:val>
            <c:numRef>
              <c:f>'Cleaned Data'!$N$3:$N$7</c:f>
              <c:numCache>
                <c:formatCode>General</c:formatCode>
                <c:ptCount val="4"/>
                <c:pt idx="0">
                  <c:v>217200</c:v>
                </c:pt>
                <c:pt idx="1">
                  <c:v>291300</c:v>
                </c:pt>
                <c:pt idx="2">
                  <c:v>322800</c:v>
                </c:pt>
                <c:pt idx="3">
                  <c:v>325300</c:v>
                </c:pt>
              </c:numCache>
            </c:numRef>
          </c:val>
          <c:extLst>
            <c:ext xmlns:c16="http://schemas.microsoft.com/office/drawing/2014/chart" uri="{C3380CC4-5D6E-409C-BE32-E72D297353CC}">
              <c16:uniqueId val="{00000000-66D9-46F8-8125-E3E1A5762E63}"/>
            </c:ext>
          </c:extLst>
        </c:ser>
        <c:dLbls>
          <c:dLblPos val="outEnd"/>
          <c:showLegendKey val="0"/>
          <c:showVal val="1"/>
          <c:showCatName val="0"/>
          <c:showSerName val="0"/>
          <c:showPercent val="0"/>
          <c:showBubbleSize val="0"/>
        </c:dLbls>
        <c:gapWidth val="444"/>
        <c:overlap val="-90"/>
        <c:axId val="1763183104"/>
        <c:axId val="1763178944"/>
      </c:barChart>
      <c:catAx>
        <c:axId val="1763183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63178944"/>
        <c:crosses val="autoZero"/>
        <c:auto val="1"/>
        <c:lblAlgn val="ctr"/>
        <c:lblOffset val="100"/>
        <c:noMultiLvlLbl val="0"/>
      </c:catAx>
      <c:valAx>
        <c:axId val="1763178944"/>
        <c:scaling>
          <c:orientation val="minMax"/>
        </c:scaling>
        <c:delete val="1"/>
        <c:axPos val="l"/>
        <c:numFmt formatCode="General" sourceLinked="1"/>
        <c:majorTickMark val="none"/>
        <c:minorTickMark val="none"/>
        <c:tickLblPos val="nextTo"/>
        <c:crossAx val="17631831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[urbanmart_sales_jan2025.xlsx]Cleaned Data!PivotTable4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Sales Trend</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ln w="31750" cap="rnd">
            <a:solidFill>
              <a:schemeClr val="accent1"/>
            </a:solidFill>
            <a:round/>
          </a:ln>
          <a:effectLst/>
        </c:spPr>
        <c:marker>
          <c:symbol val="circle"/>
          <c:size val="17"/>
          <c:spPr>
            <a:solidFill>
              <a:schemeClr val="accen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'Cleaned Data'!$Q$3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'Cleaned Data'!$P$4:$P$6</c:f>
              <c:strCache>
                <c:ptCount val="2"/>
                <c:pt idx="0">
                  <c:v>Jan</c:v>
                </c:pt>
                <c:pt idx="1">
                  <c:v>Feb</c:v>
                </c:pt>
              </c:strCache>
            </c:strRef>
          </c:cat>
          <c:val>
            <c:numRef>
              <c:f>'Cleaned Data'!$Q$4:$Q$6</c:f>
              <c:numCache>
                <c:formatCode>General</c:formatCode>
                <c:ptCount val="2"/>
                <c:pt idx="0">
                  <c:v>1156600</c:v>
                </c:pt>
                <c:pt idx="1">
                  <c:v>3800</c:v>
                </c:pt>
              </c:numCache>
            </c:numRef>
          </c:val>
          <c:smooth val="0"/>
          <c:extLst>
            <c:ext xmlns:c16="http://schemas.microsoft.com/office/drawing/2014/chart" uri="{C3380CC4-5D6E-409C-BE32-E72D297353CC}">
              <c16:uniqueId val="{00000000-2340-4340-9CCB-C430F2D4D5BF}"/>
            </c:ext>
          </c:extLst>
        </c:ser>
        <c:dLbls>
          <c:dLblPos val="ctr"/>
          <c:showLegendKey val="0"/>
          <c:showVal val="1"/>
          <c:showCatName val="0"/>
          <c:showSerName val="0"/>
          <c:showPercent val="0"/>
          <c:showBubbleSize val="0"/>
        </c:dLbls>
        <c:marker val="1"/>
        <c:smooth val="0"/>
        <c:axId val="1849930512"/>
        <c:axId val="1849932592"/>
      </c:lineChart>
      <c:catAx>
        <c:axId val="18499305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49932592"/>
        <c:crosses val="autoZero"/>
        <c:auto val="1"/>
        <c:lblAlgn val="ctr"/>
        <c:lblOffset val="100"/>
        <c:noMultiLvlLbl val="0"/>
      </c:catAx>
      <c:valAx>
        <c:axId val="18499325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49930512"/>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18</xdr:col>
      <xdr:colOff>3175</xdr:colOff>
      <xdr:row>1</xdr:row>
      <xdr:rowOff>63500</xdr:rowOff>
    </xdr:from>
    <xdr:to>
      <xdr:col>25</xdr:col>
      <xdr:colOff>307975</xdr:colOff>
      <xdr:row>16</xdr:row>
      <xdr:rowOff>44450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606425</xdr:colOff>
      <xdr:row>17</xdr:row>
      <xdr:rowOff>69850</xdr:rowOff>
    </xdr:from>
    <xdr:to>
      <xdr:col>25</xdr:col>
      <xdr:colOff>301625</xdr:colOff>
      <xdr:row>32</xdr:row>
      <xdr:rowOff>50800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146050</xdr:colOff>
      <xdr:row>7</xdr:row>
      <xdr:rowOff>25400</xdr:rowOff>
    </xdr:from>
    <xdr:to>
      <xdr:col>15</xdr:col>
      <xdr:colOff>50800</xdr:colOff>
      <xdr:row>14</xdr:row>
      <xdr:rowOff>50800</xdr:rowOff>
    </xdr:to>
    <mc:AlternateContent xmlns:mc="http://schemas.openxmlformats.org/markup-compatibility/2006">
      <mc:Choice xmlns:tsle="http://schemas.microsoft.com/office/drawing/2012/timeslicer" Requires="tsle">
        <xdr:graphicFrame macro="">
          <xdr:nvGraphicFramePr>
            <xdr:cNvPr id="8" name="Order_date(2)"/>
            <xdr:cNvGraphicFramePr/>
          </xdr:nvGraphicFramePr>
          <xdr:xfrm>
            <a:off x="0" y="0"/>
            <a:ext cx="0" cy="0"/>
          </xdr:xfrm>
          <a:graphic>
            <a:graphicData uri="http://schemas.microsoft.com/office/drawing/2012/timeslicer">
              <tsle:timeslicer xmlns:tsle="http://schemas.microsoft.com/office/drawing/2012/timeslicer" name="Order_date(2)"/>
            </a:graphicData>
          </a:graphic>
        </xdr:graphicFrame>
      </mc:Choice>
      <mc:Fallback>
        <xdr:sp macro="" textlink="">
          <xdr:nvSpPr>
            <xdr:cNvPr id="0" name=""/>
            <xdr:cNvSpPr>
              <a:spLocks noTextEdit="1"/>
            </xdr:cNvSpPr>
          </xdr:nvSpPr>
          <xdr:spPr>
            <a:xfrm>
              <a:off x="10458450" y="1397000"/>
              <a:ext cx="3333750" cy="131445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16</xdr:col>
      <xdr:colOff>730250</xdr:colOff>
      <xdr:row>6</xdr:row>
      <xdr:rowOff>127000</xdr:rowOff>
    </xdr:from>
    <xdr:to>
      <xdr:col>18</xdr:col>
      <xdr:colOff>381000</xdr:colOff>
      <xdr:row>20</xdr:row>
      <xdr:rowOff>73025</xdr:rowOff>
    </xdr:to>
    <mc:AlternateContent xmlns:mc="http://schemas.openxmlformats.org/markup-compatibility/2006">
      <mc:Choice xmlns:a14="http://schemas.microsoft.com/office/drawing/2010/main" Requires="a14">
        <xdr:graphicFrame macro="">
          <xdr:nvGraphicFramePr>
            <xdr:cNvPr id="9" name="Channel"/>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5335250" y="1314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098.845398148151" createdVersion="6" refreshedVersion="6" minRefreshableVersion="3" recordCount="34">
  <cacheSource type="worksheet">
    <worksheetSource name="Table3"/>
  </cacheSource>
  <cacheFields count="11">
    <cacheField name="OrderID" numFmtId="0">
      <sharedItems/>
    </cacheField>
    <cacheField name="Order_Date" numFmtId="164">
      <sharedItems count="24">
        <s v="05-01-2025"/>
        <s v="07-01-2025"/>
        <s v="08-01-2025"/>
        <s v="10-01-2025"/>
        <s v="11-01-2025"/>
        <s v="12-01-2025"/>
        <s v="13-01-2025"/>
        <s v="14-01-2025"/>
        <s v="15-01-2025"/>
        <s v="16-01-2025"/>
        <s v="18-01-2025"/>
        <s v="20-01-2025"/>
        <s v="21-01-2025"/>
        <s v="22-01-2025"/>
        <s v="23-01-2025"/>
        <s v="24-01-2025"/>
        <s v="25-01-2025"/>
        <s v="26-01-2025"/>
        <s v="27-01-2025"/>
        <s v="28-01-2025"/>
        <s v="29-01-2025"/>
        <s v="30-01-2025"/>
        <s v="31-01-2025"/>
        <s v="01-02-2025"/>
      </sharedItems>
    </cacheField>
    <cacheField name="Order_date(2)" numFmtId="164">
      <sharedItems containsSemiMixedTypes="0" containsNonDate="0" containsDate="1" containsString="0" minDate="2025-01-05T00:00:00" maxDate="2025-02-02T00:00:00" count="24">
        <d v="2025-01-05T00:00:00"/>
        <d v="2025-01-07T00:00:00"/>
        <d v="2025-01-08T00:00:00"/>
        <d v="2025-01-10T00:00:00"/>
        <d v="2025-01-11T00:00:00"/>
        <d v="2025-01-12T00:00:00"/>
        <d v="2025-01-13T00:00:00"/>
        <d v="2025-01-14T00:00:00"/>
        <d v="2025-01-15T00:00:00"/>
        <d v="2025-01-16T00:00:00"/>
        <d v="2025-01-18T00:00:00"/>
        <d v="2025-01-20T00:00:00"/>
        <d v="2025-01-21T00:00:00"/>
        <d v="2025-01-22T00:00:00"/>
        <d v="2025-01-23T00:00:00"/>
        <d v="2025-01-24T00:00:00"/>
        <d v="2025-01-25T00:00:00"/>
        <d v="2025-01-26T00:00:00"/>
        <d v="2025-01-27T00:00:00"/>
        <d v="2025-01-28T00:00:00"/>
        <d v="2025-01-29T00:00:00"/>
        <d v="2025-01-30T00:00:00"/>
        <d v="2025-01-31T00:00:00"/>
        <d v="2025-02-01T00:00:00"/>
      </sharedItems>
      <fieldGroup par="10" base="2">
        <rangePr groupBy="days" startDate="2025-01-05T00:00:00" endDate="2025-02-02T00:00:00"/>
        <groupItems count="368">
          <s v="&lt;05-01-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2-25"/>
        </groupItems>
      </fieldGroup>
    </cacheField>
    <cacheField name="Region" numFmtId="0">
      <sharedItems count="4">
        <s v="Nairobi"/>
        <s v="Mombasa"/>
        <s v="Kisumu"/>
        <s v="Nakuru"/>
      </sharedItems>
    </cacheField>
    <cacheField name="Customer_Name" numFmtId="0">
      <sharedItems/>
    </cacheField>
    <cacheField name="P_Category" numFmtId="0">
      <sharedItems count="3">
        <s v="Electronics"/>
        <s v="Home"/>
        <s v="Clothing"/>
      </sharedItems>
    </cacheField>
    <cacheField name="Product" numFmtId="0">
      <sharedItems/>
    </cacheField>
    <cacheField name="Sales_Amount" numFmtId="0">
      <sharedItems containsSemiMixedTypes="0" containsString="0" containsNumber="1" containsInteger="1" minValue="-5000" maxValue="120000"/>
    </cacheField>
    <cacheField name="Quantity" numFmtId="0">
      <sharedItems containsSemiMixedTypes="0" containsString="0" containsNumber="1" containsInteger="1" minValue="1" maxValue="5"/>
    </cacheField>
    <cacheField name="Channel" numFmtId="0">
      <sharedItems count="2">
        <s v="Online"/>
        <s v="In-Store"/>
      </sharedItems>
    </cacheField>
    <cacheField name="Months" numFmtId="0" databaseField="0">
      <fieldGroup base="2">
        <rangePr groupBy="months" startDate="2025-01-05T00:00:00" endDate="2025-02-02T00:00:00"/>
        <groupItems count="14">
          <s v="&lt;05-01-25"/>
          <s v="Jan"/>
          <s v="Feb"/>
          <s v="Mar"/>
          <s v="Apr"/>
          <s v="May"/>
          <s v="Jun"/>
          <s v="Jul"/>
          <s v="Aug"/>
          <s v="Sep"/>
          <s v="Oct"/>
          <s v="Nov"/>
          <s v="Dec"/>
          <s v="&gt;02-02-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4">
  <r>
    <s v="ORD001"/>
    <x v="0"/>
    <x v="0"/>
    <x v="0"/>
    <s v="John Mwangi"/>
    <x v="0"/>
    <s v="Smartphone"/>
    <n v="120000"/>
    <n v="2"/>
    <x v="0"/>
  </r>
  <r>
    <s v="ORD002"/>
    <x v="0"/>
    <x v="0"/>
    <x v="0"/>
    <s v="Mary Wanjiku"/>
    <x v="0"/>
    <s v="Laptop"/>
    <n v="85000"/>
    <n v="1"/>
    <x v="1"/>
  </r>
  <r>
    <s v="ORD003"/>
    <x v="1"/>
    <x v="1"/>
    <x v="1"/>
    <s v="Peter Otieno"/>
    <x v="1"/>
    <s v="Microwave"/>
    <n v="45000"/>
    <n v="1"/>
    <x v="1"/>
  </r>
  <r>
    <s v="ORD004"/>
    <x v="2"/>
    <x v="2"/>
    <x v="2"/>
    <s v="Grace Achieng"/>
    <x v="1"/>
    <s v="Blender"/>
    <n v="15000"/>
    <n v="2"/>
    <x v="0"/>
  </r>
  <r>
    <s v="ORD005"/>
    <x v="2"/>
    <x v="2"/>
    <x v="3"/>
    <s v="Samuel Kiptoo"/>
    <x v="0"/>
    <s v="Headphones"/>
    <n v="8000"/>
    <n v="3"/>
    <x v="0"/>
  </r>
  <r>
    <s v="ORD006"/>
    <x v="3"/>
    <x v="3"/>
    <x v="0"/>
    <s v="Lucy Njeri"/>
    <x v="2"/>
    <s v="T-Shirt"/>
    <n v="2500"/>
    <n v="5"/>
    <x v="1"/>
  </r>
  <r>
    <s v="ORD007"/>
    <x v="4"/>
    <x v="4"/>
    <x v="0"/>
    <s v="James Kariuki"/>
    <x v="2"/>
    <s v="Jeans"/>
    <n v="5500"/>
    <n v="2"/>
    <x v="0"/>
  </r>
  <r>
    <s v="ORD008"/>
    <x v="4"/>
    <x v="4"/>
    <x v="1"/>
    <s v="Fatuma Ali"/>
    <x v="2"/>
    <s v="Dress"/>
    <n v="6500"/>
    <n v="1"/>
    <x v="1"/>
  </r>
  <r>
    <s v="ORD009"/>
    <x v="5"/>
    <x v="5"/>
    <x v="2"/>
    <s v="Brian Odhiambo"/>
    <x v="0"/>
    <s v="Smartphone"/>
    <n v="118000"/>
    <n v="1"/>
    <x v="0"/>
  </r>
  <r>
    <s v="ORD010"/>
    <x v="6"/>
    <x v="6"/>
    <x v="3"/>
    <s v="Anne Chebet"/>
    <x v="1"/>
    <s v="Kettle"/>
    <n v="3500"/>
    <n v="2"/>
    <x v="1"/>
  </r>
  <r>
    <s v="ORD012"/>
    <x v="7"/>
    <x v="7"/>
    <x v="1"/>
    <s v="Aisha Mohammed"/>
    <x v="1"/>
    <s v="Toaster"/>
    <n v="2800"/>
    <n v="1"/>
    <x v="0"/>
  </r>
  <r>
    <s v="ORD013"/>
    <x v="8"/>
    <x v="8"/>
    <x v="2"/>
    <s v="Kevin Ouma"/>
    <x v="2"/>
    <s v="Shirt"/>
    <n v="3000"/>
    <n v="3"/>
    <x v="1"/>
  </r>
  <r>
    <s v="ORD014"/>
    <x v="9"/>
    <x v="9"/>
    <x v="3"/>
    <s v="Faith Jepchirchir"/>
    <x v="0"/>
    <s v="Laptop"/>
    <n v="95000"/>
    <n v="1"/>
    <x v="0"/>
  </r>
  <r>
    <s v="ORD015"/>
    <x v="9"/>
    <x v="9"/>
    <x v="0"/>
    <s v="Paul Mutiso"/>
    <x v="1"/>
    <s v="Vacuum Cleaner"/>
    <n v="22000"/>
    <n v="1"/>
    <x v="1"/>
  </r>
  <r>
    <s v="ORD016"/>
    <x v="10"/>
    <x v="10"/>
    <x v="1"/>
    <s v="Hassan Omar"/>
    <x v="0"/>
    <s v="Smartphone"/>
    <n v="110000"/>
    <n v="1"/>
    <x v="0"/>
  </r>
  <r>
    <s v="ORD017"/>
    <x v="10"/>
    <x v="10"/>
    <x v="2"/>
    <s v="Jane Anyango"/>
    <x v="2"/>
    <s v="Skirt"/>
    <n v="2700"/>
    <n v="2"/>
    <x v="1"/>
  </r>
  <r>
    <s v="ORD018"/>
    <x v="10"/>
    <x v="10"/>
    <x v="3"/>
    <s v="Mark Rotich"/>
    <x v="1"/>
    <s v="Iron Box"/>
    <n v="4000"/>
    <n v="1"/>
    <x v="0"/>
  </r>
  <r>
    <s v="ORD019"/>
    <x v="11"/>
    <x v="11"/>
    <x v="0"/>
    <s v="Irene Wambui"/>
    <x v="0"/>
    <s v="Headphones"/>
    <n v="7500"/>
    <n v="2"/>
    <x v="0"/>
  </r>
  <r>
    <s v="ORD020"/>
    <x v="12"/>
    <x v="12"/>
    <x v="1"/>
    <s v="Ali Said"/>
    <x v="1"/>
    <s v="Microwave"/>
    <n v="47000"/>
    <n v="1"/>
    <x v="1"/>
  </r>
  <r>
    <s v="ORD021"/>
    <x v="13"/>
    <x v="13"/>
    <x v="2"/>
    <s v="George Odongo"/>
    <x v="0"/>
    <s v="Tablet"/>
    <n v="39000"/>
    <n v="1"/>
    <x v="0"/>
  </r>
  <r>
    <s v="ORD022"/>
    <x v="13"/>
    <x v="13"/>
    <x v="3"/>
    <s v="Joyce Chepngeno"/>
    <x v="2"/>
    <s v="Jacket"/>
    <n v="6800"/>
    <n v="1"/>
    <x v="1"/>
  </r>
  <r>
    <s v="ORD023"/>
    <x v="14"/>
    <x v="14"/>
    <x v="0"/>
    <s v="Michael Kamau"/>
    <x v="1"/>
    <s v="Kettle"/>
    <n v="3200"/>
    <n v="2"/>
    <x v="0"/>
  </r>
  <r>
    <s v="ORD024"/>
    <x v="15"/>
    <x v="15"/>
    <x v="1"/>
    <s v="Zainab Noor"/>
    <x v="0"/>
    <s v="Laptop"/>
    <n v="102000"/>
    <n v="1"/>
    <x v="0"/>
  </r>
  <r>
    <s v="ORD025"/>
    <x v="15"/>
    <x v="15"/>
    <x v="2"/>
    <s v="Andrew Otieno"/>
    <x v="1"/>
    <s v="Blender"/>
    <n v="16000"/>
    <n v="1"/>
    <x v="1"/>
  </r>
  <r>
    <s v="ORD026"/>
    <x v="16"/>
    <x v="16"/>
    <x v="3"/>
    <s v="Ruth Kosgei"/>
    <x v="0"/>
    <s v="Smartphone"/>
    <n v="115000"/>
    <n v="1"/>
    <x v="0"/>
  </r>
  <r>
    <s v="ORD027"/>
    <x v="17"/>
    <x v="17"/>
    <x v="0"/>
    <s v="Simon Mwenda"/>
    <x v="2"/>
    <s v="Jeans"/>
    <n v="5600"/>
    <n v="2"/>
    <x v="1"/>
  </r>
  <r>
    <s v="ORD028"/>
    <x v="18"/>
    <x v="18"/>
    <x v="1"/>
    <s v="Sarah Juma"/>
    <x v="2"/>
    <s v="Dress"/>
    <n v="6500"/>
    <n v="1"/>
    <x v="0"/>
  </r>
  <r>
    <s v="ORD029"/>
    <x v="19"/>
    <x v="19"/>
    <x v="2"/>
    <s v="Patrick Oloo"/>
    <x v="1"/>
    <s v="Vacuum Cleaner"/>
    <n v="21000"/>
    <n v="1"/>
    <x v="0"/>
  </r>
  <r>
    <s v="ORD030"/>
    <x v="19"/>
    <x v="19"/>
    <x v="3"/>
    <s v="Esther Chelimo"/>
    <x v="0"/>
    <s v="Headphones"/>
    <n v="-5000"/>
    <n v="1"/>
    <x v="1"/>
  </r>
  <r>
    <s v="ORD031"/>
    <x v="20"/>
    <x v="20"/>
    <x v="0"/>
    <s v="Brian Karanja"/>
    <x v="0"/>
    <s v="Tablet"/>
    <n v="40000"/>
    <n v="1"/>
    <x v="0"/>
  </r>
  <r>
    <s v="ORD032"/>
    <x v="21"/>
    <x v="21"/>
    <x v="1"/>
    <s v="Halima Yusuf"/>
    <x v="1"/>
    <s v="Toaster"/>
    <n v="3000"/>
    <n v="1"/>
    <x v="1"/>
  </r>
  <r>
    <s v="ORD033"/>
    <x v="21"/>
    <x v="21"/>
    <x v="2"/>
    <s v="Tom Onyango"/>
    <x v="2"/>
    <s v="T-Shirt"/>
    <n v="2500"/>
    <n v="4"/>
    <x v="0"/>
  </r>
  <r>
    <s v="ORD034"/>
    <x v="22"/>
    <x v="22"/>
    <x v="3"/>
    <s v="Daniel Kipkirui"/>
    <x v="0"/>
    <s v="Laptop"/>
    <n v="98000"/>
    <n v="1"/>
    <x v="0"/>
  </r>
  <r>
    <s v="ORD035"/>
    <x v="23"/>
    <x v="23"/>
    <x v="0"/>
    <s v="Mercy Wairimu"/>
    <x v="1"/>
    <s v="Iron Box"/>
    <n v="3800"/>
    <n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14:Q19" firstHeaderRow="1" firstDataRow="1" firstDataCol="1" rowPageCount="1" colPageCount="1"/>
  <pivotFields count="11">
    <pivotField showAll="0"/>
    <pivotField showAll="0"/>
    <pivotField numFmtId="164" showAll="0"/>
    <pivotField axis="axisRow" showAll="0">
      <items count="5">
        <item x="2"/>
        <item x="1"/>
        <item x="0"/>
        <item x="3"/>
        <item t="default"/>
      </items>
    </pivotField>
    <pivotField showAll="0"/>
    <pivotField axis="axisPage" showAll="0">
      <items count="4">
        <item x="2"/>
        <item x="0"/>
        <item x="1"/>
        <item t="default"/>
      </items>
    </pivotField>
    <pivotField showAll="0"/>
    <pivotField dataField="1" showAll="0"/>
    <pivotField showAll="0"/>
    <pivotField showAll="0"/>
    <pivotField showAll="0" defaultSubtotal="0"/>
  </pivotFields>
  <rowFields count="1">
    <field x="3"/>
  </rowFields>
  <rowItems count="5">
    <i>
      <x/>
    </i>
    <i>
      <x v="1"/>
    </i>
    <i>
      <x v="2"/>
    </i>
    <i>
      <x v="3"/>
    </i>
    <i t="grand">
      <x/>
    </i>
  </rowItems>
  <colItems count="1">
    <i/>
  </colItems>
  <pageFields count="1">
    <pageField fld="5" item="1" hier="-1"/>
  </pageFields>
  <dataFields count="1">
    <dataField name="Average of Sales_Amount" fld="7" subtotal="average" baseField="0" baseItem="16179439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P3:Q6" firstHeaderRow="1" firstDataRow="1" firstDataCol="1"/>
  <pivotFields count="11">
    <pivotField showAll="0"/>
    <pivotField showAll="0">
      <items count="25">
        <item x="23"/>
        <item x="0"/>
        <item x="1"/>
        <item x="2"/>
        <item x="3"/>
        <item x="4"/>
        <item x="5"/>
        <item x="6"/>
        <item x="7"/>
        <item x="8"/>
        <item x="9"/>
        <item x="10"/>
        <item x="11"/>
        <item x="12"/>
        <item x="13"/>
        <item x="14"/>
        <item x="15"/>
        <item x="16"/>
        <item x="17"/>
        <item x="18"/>
        <item x="19"/>
        <item x="20"/>
        <item x="21"/>
        <item x="22"/>
        <item t="default"/>
      </items>
    </pivotField>
    <pivotField axis="axisRow" numFmtId="164"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0"/>
    <field x="2"/>
  </rowFields>
  <rowItems count="3">
    <i>
      <x v="1"/>
    </i>
    <i>
      <x v="2"/>
    </i>
    <i t="grand">
      <x/>
    </i>
  </rowItems>
  <colItems count="1">
    <i/>
  </colItems>
  <dataFields count="1">
    <dataField name="Sum of Sales_Amount" fld="7"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23:O40" firstHeaderRow="1" firstDataRow="1" firstDataCol="0"/>
  <pivotFields count="11">
    <pivotField showAll="0"/>
    <pivotField showAll="0"/>
    <pivotField numFmtId="164"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14:N18" firstHeaderRow="1" firstDataRow="1" firstDataCol="1"/>
  <pivotFields count="11">
    <pivotField showAll="0"/>
    <pivotField showAll="0"/>
    <pivotField numFmtId="164"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pivotField showAll="0"/>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s>
  <rowFields count="1">
    <field x="5"/>
  </rowFields>
  <rowItems count="4">
    <i>
      <x/>
    </i>
    <i>
      <x v="2"/>
    </i>
    <i>
      <x v="1"/>
    </i>
    <i t="grand">
      <x/>
    </i>
  </rowItems>
  <colItems count="1">
    <i/>
  </colItems>
  <dataFields count="1">
    <dataField name="Sum of Sales_Amount" fld="7"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
  <location ref="M2:N7" firstHeaderRow="1" firstDataRow="1" firstDataCol="1"/>
  <pivotFields count="11">
    <pivotField showAll="0"/>
    <pivotField showAll="0"/>
    <pivotField numFmtId="164"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Row" showAll="0" sortType="a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items count="4">
        <item h="1" x="2"/>
        <item h="1" x="0"/>
        <item x="1"/>
        <item t="default"/>
      </items>
    </pivotField>
    <pivotField showAll="0"/>
    <pivotField dataField="1" showAll="0"/>
    <pivotField showAll="0"/>
    <pivotField showAll="0">
      <items count="3">
        <item x="1"/>
        <item x="0"/>
        <item t="default"/>
      </items>
    </pivotField>
    <pivotField showAll="0" defaultSubtotal="0">
      <items count="14">
        <item x="0"/>
        <item x="1"/>
        <item x="2"/>
        <item x="3"/>
        <item x="4"/>
        <item x="5"/>
        <item x="6"/>
        <item x="7"/>
        <item x="8"/>
        <item x="9"/>
        <item x="10"/>
        <item x="11"/>
        <item x="12"/>
        <item x="13"/>
      </items>
    </pivotField>
  </pivotFields>
  <rowFields count="1">
    <field x="3"/>
  </rowFields>
  <rowItems count="5">
    <i>
      <x/>
    </i>
    <i>
      <x v="2"/>
    </i>
    <i>
      <x v="1"/>
    </i>
    <i>
      <x v="3"/>
    </i>
    <i t="grand">
      <x/>
    </i>
  </rowItems>
  <colItems count="1">
    <i/>
  </colItems>
  <dataFields count="1">
    <dataField name="Sum of Sales_Amount" fld="7" baseField="2"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10" name="Order_date(2)">
      <autoFilter ref="A1">
        <filterColumn colId="0">
          <customFilters and="1">
            <customFilter operator="greaterThanOrEqual" val="45658"/>
            <customFilter operator="lessThanOrEqual" val="4568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hannel" sourceName="Channel">
  <pivotTables>
    <pivotTable tabId="5" name="PivotTable1"/>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hannel" cache="Slicer_Channel" caption="Channel" rowHeight="241300"/>
</slicers>
</file>

<file path=xl/tables/table1.xml><?xml version="1.0" encoding="utf-8"?>
<table xmlns="http://schemas.openxmlformats.org/spreadsheetml/2006/main" id="3" name="Table3" displayName="Table3" ref="A1:J35" totalsRowShown="0">
  <autoFilter ref="A1:J35"/>
  <tableColumns count="10">
    <tableColumn id="1" name="OrderID"/>
    <tableColumn id="2" name="Order_Date" dataDxfId="14"/>
    <tableColumn id="11" name="Order_date(2)" dataDxfId="13">
      <calculatedColumnFormula>DATEVALUE(Table3[[#This Row],[Order_Date]])</calculatedColumnFormula>
    </tableColumn>
    <tableColumn id="3" name="Region"/>
    <tableColumn id="4" name="Customer_Name"/>
    <tableColumn id="5" name="P_Category">
      <calculatedColumnFormula>PROPER(TRIM('UrbanMart Sales Jan 2025(Orig)'!H3))</calculatedColumnFormula>
    </tableColumn>
    <tableColumn id="6" name="Product">
      <calculatedColumnFormula>PROPER(TRIM('UrbanMart Sales Jan 2025(Orig)'!J3))</calculatedColumnFormula>
    </tableColumn>
    <tableColumn id="7" name="Sales_Amount">
      <calculatedColumnFormula>VALUE(SUBSTITUTE('UrbanMart Sales Jan 2025(Orig)'!K3,"Ksh",""))</calculatedColumnFormula>
    </tableColumn>
    <tableColumn id="8" name="Quantity">
      <calculatedColumnFormula>VALUE('UrbanMart Sales Jan 2025(Orig)'!M3)</calculatedColumnFormula>
    </tableColumn>
    <tableColumn id="9" name="Channel">
      <calculatedColumnFormula>PROPER(TRIM('UrbanMart Sales Jan 2025(Orig)'!N3))</calculatedColumnFormula>
    </tableColumn>
  </tableColumns>
  <tableStyleInfo name="TableStyleMedium9" showFirstColumn="0" showLastColumn="0" showRowStripes="1" showColumnStripes="0"/>
</table>
</file>

<file path=xl/tables/table2.xml><?xml version="1.0" encoding="utf-8"?>
<table xmlns="http://schemas.openxmlformats.org/spreadsheetml/2006/main" id="2" name="Table13" displayName="Table13" ref="A1:I35" totalsRowShown="0" tableBorderDxfId="12">
  <autoFilter ref="A1:I35"/>
  <tableColumns count="9">
    <tableColumn id="1" name="OrderID"/>
    <tableColumn id="2" name="Order Date" dataDxfId="11"/>
    <tableColumn id="3" name="Region" dataDxfId="10"/>
    <tableColumn id="4" name="Customer's Name"/>
    <tableColumn id="5" name="Category"/>
    <tableColumn id="6" name="Product"/>
    <tableColumn id="7" name="Sales_Amount" dataDxfId="9"/>
    <tableColumn id="8" name="Quantity" dataDxfId="8"/>
    <tableColumn id="9" name="Channel" dataDxfId="7"/>
  </tableColumns>
  <tableStyleInfo name="TableStyleMedium9" showFirstColumn="0" showLastColumn="0" showRowStripes="1" showColumnStripes="0"/>
</table>
</file>

<file path=xl/tables/table3.xml><?xml version="1.0" encoding="utf-8"?>
<table xmlns="http://schemas.openxmlformats.org/spreadsheetml/2006/main" id="1" name="Table1" displayName="Table1" ref="A1:J36" totalsRowShown="0" tableBorderDxfId="6">
  <autoFilter ref="A1:J36"/>
  <tableColumns count="10">
    <tableColumn id="1" name="OrderID"/>
    <tableColumn id="2" name="Order Date" dataDxfId="5"/>
    <tableColumn id="3" name="Region" dataDxfId="4"/>
    <tableColumn id="4" name="Customer's Name"/>
    <tableColumn id="5" name="Category"/>
    <tableColumn id="6" name="Product"/>
    <tableColumn id="7" name="Sales_Amount" dataDxfId="3"/>
    <tableColumn id="8" name="Quantity" dataDxfId="2"/>
    <tableColumn id="9" name="Channel" dataDxfId="1"/>
    <tableColumn id="10" name="Column1" dataDxfId="0">
      <calculatedColumnFormula>ISNUMBER(Table1[[#This Row],[Order Date]])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Order_date_2" sourceName="Order_date(2)">
  <pivotTables>
    <pivotTable tabId="5" name="PivotTable1"/>
  </pivotTables>
  <state minimalRefreshVersion="6" lastRefreshVersion="6" pivotCacheId="1" filterType="dateBetween">
    <selection startDate="2025-01-01T00:00:00" endDate="2025-01-31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_date(2)" cache="NativeTimeline_Order_date_2" caption="Order_date(2)" level="2" selectionLevel="2" scrollPosition="2025-01-01T00:00:00"/>
</timelines>
</file>

<file path=xl/worksheets/_rels/sheet2.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N36"/>
  <sheetViews>
    <sheetView workbookViewId="0">
      <selection activeCell="H43" sqref="H43"/>
    </sheetView>
  </sheetViews>
  <sheetFormatPr defaultRowHeight="14.5" x14ac:dyDescent="0.35"/>
  <cols>
    <col min="2" max="2" width="11.90625" style="1" bestFit="1" customWidth="1"/>
    <col min="3" max="3" width="11.90625" style="1" customWidth="1"/>
    <col min="6" max="6" width="16.1796875" bestFit="1" customWidth="1"/>
    <col min="7" max="7" width="16.1796875" customWidth="1"/>
    <col min="9" max="9" width="12" bestFit="1" customWidth="1"/>
    <col min="10" max="10" width="15.36328125" bestFit="1" customWidth="1"/>
    <col min="11" max="11" width="11.7265625" bestFit="1" customWidth="1"/>
    <col min="12" max="12" width="11.7265625" customWidth="1"/>
  </cols>
  <sheetData>
    <row r="1" spans="1:14" x14ac:dyDescent="0.35">
      <c r="A1" t="s">
        <v>0</v>
      </c>
      <c r="B1" s="1" t="s">
        <v>1</v>
      </c>
      <c r="C1" s="1" t="s">
        <v>206</v>
      </c>
      <c r="D1" t="s">
        <v>2</v>
      </c>
      <c r="E1" t="s">
        <v>2</v>
      </c>
      <c r="F1" t="s">
        <v>3</v>
      </c>
      <c r="G1" t="s">
        <v>207</v>
      </c>
      <c r="H1" t="s">
        <v>4</v>
      </c>
      <c r="I1" t="s">
        <v>208</v>
      </c>
      <c r="J1" t="s">
        <v>5</v>
      </c>
      <c r="K1" t="s">
        <v>6</v>
      </c>
      <c r="M1" t="s">
        <v>7</v>
      </c>
      <c r="N1" t="s">
        <v>8</v>
      </c>
    </row>
    <row r="2" spans="1:14" hidden="1" x14ac:dyDescent="0.35">
      <c r="A2" t="s">
        <v>9</v>
      </c>
      <c r="B2" s="1" t="s">
        <v>10</v>
      </c>
      <c r="C2" s="1" t="str">
        <f>TEXT(B2,"dd-mm-yyyy")</f>
        <v>05-01-2025</v>
      </c>
      <c r="D2" t="s">
        <v>11</v>
      </c>
      <c r="E2" t="str">
        <f>PROPER(TRIM(D2))</f>
        <v>Nairobi</v>
      </c>
      <c r="F2" t="s">
        <v>12</v>
      </c>
      <c r="G2" t="str">
        <f>PROPER(TRIM(F2))</f>
        <v>John Mwangi</v>
      </c>
      <c r="H2" t="s">
        <v>13</v>
      </c>
      <c r="I2" t="str">
        <f>PROPER(TRIM(H2))</f>
        <v>Electronics</v>
      </c>
      <c r="J2" t="s">
        <v>14</v>
      </c>
      <c r="K2" t="s">
        <v>15</v>
      </c>
      <c r="M2">
        <v>2</v>
      </c>
      <c r="N2" t="s">
        <v>16</v>
      </c>
    </row>
    <row r="3" spans="1:14" hidden="1" x14ac:dyDescent="0.35">
      <c r="A3" t="s">
        <v>17</v>
      </c>
      <c r="B3" s="1" t="s">
        <v>18</v>
      </c>
      <c r="C3" s="1" t="str">
        <f t="shared" ref="C3:C36" si="0">TEXT(B3,"dd-mm-yyyy")</f>
        <v>05-01-2025</v>
      </c>
      <c r="D3" t="s">
        <v>19</v>
      </c>
      <c r="E3" t="str">
        <f t="shared" ref="E3:E36" si="1">PROPER(TRIM(D3))</f>
        <v>Nairobi</v>
      </c>
      <c r="F3" t="s">
        <v>20</v>
      </c>
      <c r="G3" t="str">
        <f t="shared" ref="G3:G36" si="2">PROPER(TRIM(F3))</f>
        <v>Mary Wanjiku</v>
      </c>
      <c r="H3" t="s">
        <v>13</v>
      </c>
      <c r="I3" t="str">
        <f t="shared" ref="I3:I36" si="3">PROPER(TRIM(H3))</f>
        <v>Electronics</v>
      </c>
      <c r="J3" t="s">
        <v>21</v>
      </c>
      <c r="K3" t="s">
        <v>22</v>
      </c>
      <c r="M3">
        <v>1</v>
      </c>
      <c r="N3" t="s">
        <v>23</v>
      </c>
    </row>
    <row r="4" spans="1:14" hidden="1" x14ac:dyDescent="0.35">
      <c r="A4" t="s">
        <v>24</v>
      </c>
      <c r="B4" s="1" t="s">
        <v>25</v>
      </c>
      <c r="C4" s="1" t="str">
        <f t="shared" si="0"/>
        <v>07-01-2025</v>
      </c>
      <c r="D4" t="s">
        <v>26</v>
      </c>
      <c r="E4" t="str">
        <f t="shared" si="1"/>
        <v>Mombasa</v>
      </c>
      <c r="F4" t="s">
        <v>27</v>
      </c>
      <c r="G4" t="str">
        <f t="shared" si="2"/>
        <v>Peter Otieno</v>
      </c>
      <c r="H4" t="s">
        <v>28</v>
      </c>
      <c r="I4" t="str">
        <f t="shared" si="3"/>
        <v>Home</v>
      </c>
      <c r="J4" t="s">
        <v>29</v>
      </c>
      <c r="K4" t="s">
        <v>30</v>
      </c>
      <c r="M4">
        <v>1</v>
      </c>
      <c r="N4" t="s">
        <v>23</v>
      </c>
    </row>
    <row r="5" spans="1:14" hidden="1" x14ac:dyDescent="0.35">
      <c r="A5" t="s">
        <v>31</v>
      </c>
      <c r="B5" s="1" t="s">
        <v>32</v>
      </c>
      <c r="C5" s="1" t="str">
        <f t="shared" si="0"/>
        <v>08-01-2025</v>
      </c>
      <c r="D5" t="s">
        <v>33</v>
      </c>
      <c r="E5" t="str">
        <f t="shared" si="1"/>
        <v>Kisumu</v>
      </c>
      <c r="F5" t="s">
        <v>34</v>
      </c>
      <c r="G5" t="str">
        <f t="shared" si="2"/>
        <v>Grace Achieng</v>
      </c>
      <c r="H5" t="s">
        <v>28</v>
      </c>
      <c r="I5" t="str">
        <f t="shared" si="3"/>
        <v>Home</v>
      </c>
      <c r="J5" t="s">
        <v>35</v>
      </c>
      <c r="K5" t="s">
        <v>36</v>
      </c>
      <c r="M5">
        <v>2</v>
      </c>
      <c r="N5" t="s">
        <v>16</v>
      </c>
    </row>
    <row r="6" spans="1:14" hidden="1" x14ac:dyDescent="0.35">
      <c r="A6" t="s">
        <v>37</v>
      </c>
      <c r="B6" s="1" t="s">
        <v>38</v>
      </c>
      <c r="C6" s="1" t="str">
        <f t="shared" si="0"/>
        <v>08-01-2025</v>
      </c>
      <c r="D6" t="s">
        <v>39</v>
      </c>
      <c r="E6" t="str">
        <f t="shared" si="1"/>
        <v>Nakuru</v>
      </c>
      <c r="F6" t="s">
        <v>40</v>
      </c>
      <c r="G6" t="str">
        <f t="shared" si="2"/>
        <v>Samuel Kiptoo</v>
      </c>
      <c r="H6" t="s">
        <v>13</v>
      </c>
      <c r="I6" t="str">
        <f t="shared" si="3"/>
        <v>Electronics</v>
      </c>
      <c r="J6" t="s">
        <v>41</v>
      </c>
      <c r="K6" t="s">
        <v>42</v>
      </c>
      <c r="M6">
        <v>3</v>
      </c>
      <c r="N6" t="s">
        <v>16</v>
      </c>
    </row>
    <row r="7" spans="1:14" hidden="1" x14ac:dyDescent="0.35">
      <c r="A7" t="s">
        <v>43</v>
      </c>
      <c r="B7" s="1" t="s">
        <v>44</v>
      </c>
      <c r="C7" s="1" t="str">
        <f t="shared" si="0"/>
        <v>10-01-2025</v>
      </c>
      <c r="D7" t="s">
        <v>11</v>
      </c>
      <c r="E7" t="str">
        <f t="shared" si="1"/>
        <v>Nairobi</v>
      </c>
      <c r="F7" t="s">
        <v>45</v>
      </c>
      <c r="G7" t="str">
        <f t="shared" si="2"/>
        <v>Lucy Njeri</v>
      </c>
      <c r="H7" t="s">
        <v>46</v>
      </c>
      <c r="I7" t="str">
        <f t="shared" si="3"/>
        <v>Clothing</v>
      </c>
      <c r="J7" t="s">
        <v>47</v>
      </c>
      <c r="K7" t="s">
        <v>48</v>
      </c>
      <c r="M7">
        <v>5</v>
      </c>
      <c r="N7" t="s">
        <v>23</v>
      </c>
    </row>
    <row r="8" spans="1:14" hidden="1" x14ac:dyDescent="0.35">
      <c r="A8" t="s">
        <v>49</v>
      </c>
      <c r="B8" s="1" t="s">
        <v>50</v>
      </c>
      <c r="C8" s="1" t="str">
        <f t="shared" si="0"/>
        <v>11-01-2025</v>
      </c>
      <c r="D8" t="s">
        <v>51</v>
      </c>
      <c r="E8" t="str">
        <f t="shared" si="1"/>
        <v>Nairobi</v>
      </c>
      <c r="F8" t="s">
        <v>52</v>
      </c>
      <c r="G8" t="str">
        <f t="shared" si="2"/>
        <v>James Kariuki</v>
      </c>
      <c r="H8" t="s">
        <v>46</v>
      </c>
      <c r="I8" t="str">
        <f t="shared" si="3"/>
        <v>Clothing</v>
      </c>
      <c r="J8" t="s">
        <v>53</v>
      </c>
      <c r="K8" t="s">
        <v>54</v>
      </c>
      <c r="M8">
        <v>2</v>
      </c>
      <c r="N8" t="s">
        <v>16</v>
      </c>
    </row>
    <row r="9" spans="1:14" hidden="1" x14ac:dyDescent="0.35">
      <c r="A9" t="s">
        <v>55</v>
      </c>
      <c r="B9" s="1" t="s">
        <v>56</v>
      </c>
      <c r="C9" s="1" t="str">
        <f t="shared" si="0"/>
        <v>11-01-2025</v>
      </c>
      <c r="D9" t="s">
        <v>26</v>
      </c>
      <c r="E9" t="str">
        <f t="shared" si="1"/>
        <v>Mombasa</v>
      </c>
      <c r="F9" t="s">
        <v>57</v>
      </c>
      <c r="G9" t="str">
        <f t="shared" si="2"/>
        <v>Fatuma Ali</v>
      </c>
      <c r="H9" t="s">
        <v>46</v>
      </c>
      <c r="I9" t="str">
        <f t="shared" si="3"/>
        <v>Clothing</v>
      </c>
      <c r="J9" t="s">
        <v>58</v>
      </c>
      <c r="K9" t="s">
        <v>59</v>
      </c>
      <c r="M9">
        <v>1</v>
      </c>
      <c r="N9" t="s">
        <v>23</v>
      </c>
    </row>
    <row r="10" spans="1:14" hidden="1" x14ac:dyDescent="0.35">
      <c r="A10" t="s">
        <v>60</v>
      </c>
      <c r="B10" s="1" t="s">
        <v>61</v>
      </c>
      <c r="C10" s="1" t="str">
        <f t="shared" si="0"/>
        <v>12-01-2025</v>
      </c>
      <c r="D10" t="s">
        <v>33</v>
      </c>
      <c r="E10" t="str">
        <f t="shared" si="1"/>
        <v>Kisumu</v>
      </c>
      <c r="F10" t="s">
        <v>62</v>
      </c>
      <c r="G10" t="str">
        <f t="shared" si="2"/>
        <v>Brian Odhiambo</v>
      </c>
      <c r="H10" t="s">
        <v>13</v>
      </c>
      <c r="I10" t="str">
        <f t="shared" si="3"/>
        <v>Electronics</v>
      </c>
      <c r="J10" t="s">
        <v>14</v>
      </c>
      <c r="K10" t="s">
        <v>63</v>
      </c>
      <c r="M10">
        <v>1</v>
      </c>
      <c r="N10" t="s">
        <v>16</v>
      </c>
    </row>
    <row r="11" spans="1:14" hidden="1" x14ac:dyDescent="0.35">
      <c r="A11" t="s">
        <v>64</v>
      </c>
      <c r="B11" s="1" t="s">
        <v>65</v>
      </c>
      <c r="C11" s="1" t="str">
        <f t="shared" si="0"/>
        <v>13-01-2025</v>
      </c>
      <c r="D11" t="s">
        <v>39</v>
      </c>
      <c r="E11" t="str">
        <f t="shared" si="1"/>
        <v>Nakuru</v>
      </c>
      <c r="F11" t="s">
        <v>66</v>
      </c>
      <c r="G11" t="str">
        <f t="shared" si="2"/>
        <v>Anne Chebet</v>
      </c>
      <c r="H11" t="s">
        <v>28</v>
      </c>
      <c r="I11" t="str">
        <f t="shared" si="3"/>
        <v>Home</v>
      </c>
      <c r="J11" t="s">
        <v>67</v>
      </c>
      <c r="K11" t="s">
        <v>68</v>
      </c>
      <c r="M11">
        <v>2</v>
      </c>
      <c r="N11" t="s">
        <v>23</v>
      </c>
    </row>
    <row r="12" spans="1:14" s="29" customFormat="1" x14ac:dyDescent="0.35">
      <c r="A12" s="29" t="s">
        <v>69</v>
      </c>
      <c r="B12" s="30" t="s">
        <v>70</v>
      </c>
      <c r="C12" s="30" t="str">
        <f t="shared" si="0"/>
        <v>14-01-2025</v>
      </c>
      <c r="D12" s="29" t="s">
        <v>11</v>
      </c>
      <c r="E12" s="29" t="str">
        <f t="shared" si="1"/>
        <v>Nairobi</v>
      </c>
      <c r="F12" s="29" t="s">
        <v>71</v>
      </c>
      <c r="G12" s="29" t="str">
        <f t="shared" si="2"/>
        <v>David Kimani</v>
      </c>
      <c r="H12" s="29" t="s">
        <v>13</v>
      </c>
      <c r="I12" s="29" t="str">
        <f>PROPER(TRIM(H12))</f>
        <v>Electronics</v>
      </c>
      <c r="J12" s="29" t="s">
        <v>72</v>
      </c>
      <c r="M12" s="29">
        <v>4</v>
      </c>
      <c r="N12" s="29" t="s">
        <v>16</v>
      </c>
    </row>
    <row r="13" spans="1:14" hidden="1" x14ac:dyDescent="0.35">
      <c r="A13" t="s">
        <v>73</v>
      </c>
      <c r="B13" s="1" t="s">
        <v>74</v>
      </c>
      <c r="C13" s="1" t="str">
        <f t="shared" si="0"/>
        <v>14-01-2025</v>
      </c>
      <c r="D13" t="s">
        <v>26</v>
      </c>
      <c r="E13" t="str">
        <f t="shared" si="1"/>
        <v>Mombasa</v>
      </c>
      <c r="F13" t="s">
        <v>75</v>
      </c>
      <c r="G13" t="str">
        <f t="shared" si="2"/>
        <v>Aisha Mohammed</v>
      </c>
      <c r="H13" t="s">
        <v>28</v>
      </c>
      <c r="I13" t="str">
        <f t="shared" si="3"/>
        <v>Home</v>
      </c>
      <c r="J13" t="s">
        <v>76</v>
      </c>
      <c r="K13" t="s">
        <v>77</v>
      </c>
      <c r="M13">
        <v>1</v>
      </c>
      <c r="N13" t="s">
        <v>16</v>
      </c>
    </row>
    <row r="14" spans="1:14" hidden="1" x14ac:dyDescent="0.35">
      <c r="A14" t="s">
        <v>78</v>
      </c>
      <c r="B14" s="1" t="s">
        <v>79</v>
      </c>
      <c r="C14" s="1" t="str">
        <f t="shared" si="0"/>
        <v>15-01-2025</v>
      </c>
      <c r="D14" t="s">
        <v>33</v>
      </c>
      <c r="E14" t="str">
        <f t="shared" si="1"/>
        <v>Kisumu</v>
      </c>
      <c r="F14" t="s">
        <v>80</v>
      </c>
      <c r="G14" t="str">
        <f t="shared" si="2"/>
        <v>Kevin Ouma</v>
      </c>
      <c r="H14" t="s">
        <v>46</v>
      </c>
      <c r="I14" t="str">
        <f t="shared" si="3"/>
        <v>Clothing</v>
      </c>
      <c r="J14" t="s">
        <v>81</v>
      </c>
      <c r="K14" t="s">
        <v>82</v>
      </c>
      <c r="M14">
        <v>3</v>
      </c>
      <c r="N14" t="s">
        <v>23</v>
      </c>
    </row>
    <row r="15" spans="1:14" hidden="1" x14ac:dyDescent="0.35">
      <c r="A15" t="s">
        <v>83</v>
      </c>
      <c r="B15" s="1" t="s">
        <v>84</v>
      </c>
      <c r="C15" s="1" t="str">
        <f t="shared" si="0"/>
        <v>16-01-2025</v>
      </c>
      <c r="D15" t="s">
        <v>39</v>
      </c>
      <c r="E15" t="str">
        <f t="shared" si="1"/>
        <v>Nakuru</v>
      </c>
      <c r="F15" t="s">
        <v>85</v>
      </c>
      <c r="G15" t="str">
        <f t="shared" si="2"/>
        <v>Faith Jepchirchir</v>
      </c>
      <c r="H15" t="s">
        <v>13</v>
      </c>
      <c r="I15" t="str">
        <f t="shared" si="3"/>
        <v>Electronics</v>
      </c>
      <c r="J15" t="s">
        <v>21</v>
      </c>
      <c r="K15" t="s">
        <v>86</v>
      </c>
      <c r="M15">
        <v>1</v>
      </c>
      <c r="N15" t="s">
        <v>16</v>
      </c>
    </row>
    <row r="16" spans="1:14" hidden="1" x14ac:dyDescent="0.35">
      <c r="A16" t="s">
        <v>87</v>
      </c>
      <c r="B16" s="1" t="s">
        <v>88</v>
      </c>
      <c r="C16" s="1" t="str">
        <f t="shared" si="0"/>
        <v>16-01-2025</v>
      </c>
      <c r="D16" t="s">
        <v>11</v>
      </c>
      <c r="E16" t="str">
        <f t="shared" si="1"/>
        <v>Nairobi</v>
      </c>
      <c r="F16" t="s">
        <v>89</v>
      </c>
      <c r="G16" t="str">
        <f t="shared" si="2"/>
        <v>Paul Mutiso</v>
      </c>
      <c r="H16" t="s">
        <v>28</v>
      </c>
      <c r="I16" t="str">
        <f t="shared" si="3"/>
        <v>Home</v>
      </c>
      <c r="J16" t="s">
        <v>90</v>
      </c>
      <c r="K16" t="s">
        <v>91</v>
      </c>
      <c r="M16">
        <v>1</v>
      </c>
      <c r="N16" t="s">
        <v>23</v>
      </c>
    </row>
    <row r="17" spans="1:14" hidden="1" x14ac:dyDescent="0.35">
      <c r="A17" t="s">
        <v>92</v>
      </c>
      <c r="B17" s="1" t="s">
        <v>93</v>
      </c>
      <c r="C17" s="1" t="str">
        <f t="shared" si="0"/>
        <v>18-01-2025</v>
      </c>
      <c r="D17" t="s">
        <v>26</v>
      </c>
      <c r="E17" t="str">
        <f t="shared" si="1"/>
        <v>Mombasa</v>
      </c>
      <c r="F17" t="s">
        <v>94</v>
      </c>
      <c r="G17" t="str">
        <f t="shared" si="2"/>
        <v>Hassan Omar</v>
      </c>
      <c r="H17" t="s">
        <v>13</v>
      </c>
      <c r="I17" t="str">
        <f t="shared" si="3"/>
        <v>Electronics</v>
      </c>
      <c r="J17" t="s">
        <v>14</v>
      </c>
      <c r="K17" t="s">
        <v>95</v>
      </c>
      <c r="M17">
        <v>1</v>
      </c>
      <c r="N17" t="s">
        <v>16</v>
      </c>
    </row>
    <row r="18" spans="1:14" hidden="1" x14ac:dyDescent="0.35">
      <c r="A18" t="s">
        <v>96</v>
      </c>
      <c r="B18" s="1" t="s">
        <v>93</v>
      </c>
      <c r="C18" s="1" t="str">
        <f t="shared" si="0"/>
        <v>18-01-2025</v>
      </c>
      <c r="D18" t="s">
        <v>33</v>
      </c>
      <c r="E18" t="str">
        <f t="shared" si="1"/>
        <v>Kisumu</v>
      </c>
      <c r="F18" t="s">
        <v>97</v>
      </c>
      <c r="G18" t="str">
        <f t="shared" si="2"/>
        <v>Jane Anyango</v>
      </c>
      <c r="H18" t="s">
        <v>46</v>
      </c>
      <c r="I18" t="str">
        <f t="shared" si="3"/>
        <v>Clothing</v>
      </c>
      <c r="J18" t="s">
        <v>98</v>
      </c>
      <c r="K18" t="s">
        <v>99</v>
      </c>
      <c r="M18">
        <v>2</v>
      </c>
      <c r="N18" t="s">
        <v>23</v>
      </c>
    </row>
    <row r="19" spans="1:14" hidden="1" x14ac:dyDescent="0.35">
      <c r="A19" t="s">
        <v>100</v>
      </c>
      <c r="B19" s="1" t="s">
        <v>101</v>
      </c>
      <c r="C19" s="1" t="str">
        <f t="shared" si="0"/>
        <v>18-01-2025</v>
      </c>
      <c r="D19" t="s">
        <v>39</v>
      </c>
      <c r="E19" t="str">
        <f t="shared" si="1"/>
        <v>Nakuru</v>
      </c>
      <c r="F19" t="s">
        <v>102</v>
      </c>
      <c r="G19" t="str">
        <f t="shared" si="2"/>
        <v>Mark Rotich</v>
      </c>
      <c r="H19" t="s">
        <v>28</v>
      </c>
      <c r="I19" t="str">
        <f t="shared" si="3"/>
        <v>Home</v>
      </c>
      <c r="J19" t="s">
        <v>103</v>
      </c>
      <c r="K19" t="s">
        <v>104</v>
      </c>
      <c r="M19">
        <v>1</v>
      </c>
      <c r="N19" t="s">
        <v>16</v>
      </c>
    </row>
    <row r="20" spans="1:14" hidden="1" x14ac:dyDescent="0.35">
      <c r="A20" t="s">
        <v>105</v>
      </c>
      <c r="B20" s="1" t="s">
        <v>106</v>
      </c>
      <c r="C20" s="1" t="str">
        <f t="shared" si="0"/>
        <v>20-01-2025</v>
      </c>
      <c r="D20" t="s">
        <v>11</v>
      </c>
      <c r="E20" t="str">
        <f t="shared" si="1"/>
        <v>Nairobi</v>
      </c>
      <c r="F20" t="s">
        <v>107</v>
      </c>
      <c r="G20" t="str">
        <f t="shared" si="2"/>
        <v>Irene Wambui</v>
      </c>
      <c r="H20" t="s">
        <v>13</v>
      </c>
      <c r="I20" t="str">
        <f t="shared" si="3"/>
        <v>Electronics</v>
      </c>
      <c r="J20" t="s">
        <v>41</v>
      </c>
      <c r="K20" t="s">
        <v>108</v>
      </c>
      <c r="M20">
        <v>2</v>
      </c>
      <c r="N20" t="s">
        <v>16</v>
      </c>
    </row>
    <row r="21" spans="1:14" hidden="1" x14ac:dyDescent="0.35">
      <c r="A21" t="s">
        <v>109</v>
      </c>
      <c r="B21" s="1" t="s">
        <v>110</v>
      </c>
      <c r="C21" s="1" t="str">
        <f t="shared" si="0"/>
        <v>21-01-2025</v>
      </c>
      <c r="D21" t="s">
        <v>26</v>
      </c>
      <c r="E21" t="str">
        <f t="shared" si="1"/>
        <v>Mombasa</v>
      </c>
      <c r="F21" t="s">
        <v>111</v>
      </c>
      <c r="G21" t="str">
        <f t="shared" si="2"/>
        <v>Ali Said</v>
      </c>
      <c r="H21" t="s">
        <v>28</v>
      </c>
      <c r="I21" t="str">
        <f t="shared" si="3"/>
        <v>Home</v>
      </c>
      <c r="J21" t="s">
        <v>29</v>
      </c>
      <c r="K21" t="s">
        <v>112</v>
      </c>
      <c r="M21">
        <v>1</v>
      </c>
      <c r="N21" t="s">
        <v>23</v>
      </c>
    </row>
    <row r="22" spans="1:14" x14ac:dyDescent="0.35">
      <c r="A22" t="s">
        <v>113</v>
      </c>
      <c r="B22" s="1" t="s">
        <v>114</v>
      </c>
      <c r="C22" s="1" t="str">
        <f t="shared" si="0"/>
        <v>22-01-2025</v>
      </c>
      <c r="D22" t="s">
        <v>33</v>
      </c>
      <c r="E22" t="str">
        <f t="shared" si="1"/>
        <v>Kisumu</v>
      </c>
      <c r="F22" t="s">
        <v>115</v>
      </c>
      <c r="G22" t="str">
        <f t="shared" si="2"/>
        <v>George Odongo</v>
      </c>
      <c r="H22" t="s">
        <v>13</v>
      </c>
      <c r="I22" t="str">
        <f t="shared" si="3"/>
        <v>Electronics</v>
      </c>
      <c r="J22" t="s">
        <v>72</v>
      </c>
      <c r="K22" t="s">
        <v>116</v>
      </c>
      <c r="M22">
        <v>1</v>
      </c>
      <c r="N22" t="s">
        <v>16</v>
      </c>
    </row>
    <row r="23" spans="1:14" hidden="1" x14ac:dyDescent="0.35">
      <c r="A23" t="s">
        <v>117</v>
      </c>
      <c r="B23" s="1" t="s">
        <v>118</v>
      </c>
      <c r="C23" s="1" t="str">
        <f t="shared" si="0"/>
        <v>22-01-2025</v>
      </c>
      <c r="D23" t="s">
        <v>39</v>
      </c>
      <c r="E23" t="str">
        <f t="shared" si="1"/>
        <v>Nakuru</v>
      </c>
      <c r="F23" t="s">
        <v>119</v>
      </c>
      <c r="G23" t="str">
        <f t="shared" si="2"/>
        <v>Joyce Chepngeno</v>
      </c>
      <c r="H23" t="s">
        <v>46</v>
      </c>
      <c r="I23" t="str">
        <f t="shared" si="3"/>
        <v>Clothing</v>
      </c>
      <c r="J23" t="s">
        <v>120</v>
      </c>
      <c r="K23" t="s">
        <v>121</v>
      </c>
      <c r="M23">
        <v>1</v>
      </c>
      <c r="N23" t="s">
        <v>23</v>
      </c>
    </row>
    <row r="24" spans="1:14" hidden="1" x14ac:dyDescent="0.35">
      <c r="A24" t="s">
        <v>122</v>
      </c>
      <c r="B24" s="1" t="s">
        <v>123</v>
      </c>
      <c r="C24" s="1" t="str">
        <f t="shared" si="0"/>
        <v>23-01-2025</v>
      </c>
      <c r="D24" t="s">
        <v>11</v>
      </c>
      <c r="E24" t="str">
        <f t="shared" si="1"/>
        <v>Nairobi</v>
      </c>
      <c r="F24" t="s">
        <v>124</v>
      </c>
      <c r="G24" t="str">
        <f t="shared" si="2"/>
        <v>Michael Kamau</v>
      </c>
      <c r="H24" t="s">
        <v>28</v>
      </c>
      <c r="I24" t="str">
        <f t="shared" si="3"/>
        <v>Home</v>
      </c>
      <c r="J24" t="s">
        <v>67</v>
      </c>
      <c r="K24" t="s">
        <v>125</v>
      </c>
      <c r="M24">
        <v>2</v>
      </c>
      <c r="N24" t="s">
        <v>16</v>
      </c>
    </row>
    <row r="25" spans="1:14" hidden="1" x14ac:dyDescent="0.35">
      <c r="A25" t="s">
        <v>126</v>
      </c>
      <c r="B25" s="1" t="s">
        <v>127</v>
      </c>
      <c r="C25" s="1" t="str">
        <f t="shared" si="0"/>
        <v>24-01-2025</v>
      </c>
      <c r="D25" t="s">
        <v>26</v>
      </c>
      <c r="E25" t="str">
        <f t="shared" si="1"/>
        <v>Mombasa</v>
      </c>
      <c r="F25" t="s">
        <v>128</v>
      </c>
      <c r="G25" t="str">
        <f t="shared" si="2"/>
        <v>Zainab Noor</v>
      </c>
      <c r="H25" t="s">
        <v>13</v>
      </c>
      <c r="I25" t="str">
        <f t="shared" si="3"/>
        <v>Electronics</v>
      </c>
      <c r="J25" t="s">
        <v>21</v>
      </c>
      <c r="K25" t="s">
        <v>129</v>
      </c>
      <c r="M25">
        <v>1</v>
      </c>
      <c r="N25" t="s">
        <v>16</v>
      </c>
    </row>
    <row r="26" spans="1:14" hidden="1" x14ac:dyDescent="0.35">
      <c r="A26" t="s">
        <v>130</v>
      </c>
      <c r="B26" s="1" t="s">
        <v>131</v>
      </c>
      <c r="C26" s="1" t="str">
        <f t="shared" si="0"/>
        <v>24-01-2025</v>
      </c>
      <c r="D26" t="s">
        <v>33</v>
      </c>
      <c r="E26" t="str">
        <f t="shared" si="1"/>
        <v>Kisumu</v>
      </c>
      <c r="F26" t="s">
        <v>132</v>
      </c>
      <c r="G26" t="str">
        <f t="shared" si="2"/>
        <v>Andrew Otieno</v>
      </c>
      <c r="H26" t="s">
        <v>28</v>
      </c>
      <c r="I26" t="str">
        <f t="shared" si="3"/>
        <v>Home</v>
      </c>
      <c r="J26" t="s">
        <v>35</v>
      </c>
      <c r="K26" t="s">
        <v>133</v>
      </c>
      <c r="M26">
        <v>1</v>
      </c>
      <c r="N26" t="s">
        <v>23</v>
      </c>
    </row>
    <row r="27" spans="1:14" hidden="1" x14ac:dyDescent="0.35">
      <c r="A27" t="s">
        <v>134</v>
      </c>
      <c r="B27" s="1" t="s">
        <v>135</v>
      </c>
      <c r="C27" s="1" t="str">
        <f t="shared" si="0"/>
        <v>25-01-2025</v>
      </c>
      <c r="D27" t="s">
        <v>39</v>
      </c>
      <c r="E27" t="str">
        <f t="shared" si="1"/>
        <v>Nakuru</v>
      </c>
      <c r="F27" t="s">
        <v>136</v>
      </c>
      <c r="G27" t="str">
        <f t="shared" si="2"/>
        <v>Ruth Kosgei</v>
      </c>
      <c r="H27" t="s">
        <v>13</v>
      </c>
      <c r="I27" t="str">
        <f t="shared" si="3"/>
        <v>Electronics</v>
      </c>
      <c r="J27" t="s">
        <v>14</v>
      </c>
      <c r="K27" t="s">
        <v>137</v>
      </c>
      <c r="M27">
        <v>1</v>
      </c>
      <c r="N27" t="s">
        <v>16</v>
      </c>
    </row>
    <row r="28" spans="1:14" hidden="1" x14ac:dyDescent="0.35">
      <c r="A28" t="s">
        <v>138</v>
      </c>
      <c r="B28" s="1" t="s">
        <v>139</v>
      </c>
      <c r="C28" s="1" t="str">
        <f t="shared" si="0"/>
        <v>26-01-2025</v>
      </c>
      <c r="D28" t="s">
        <v>11</v>
      </c>
      <c r="E28" t="str">
        <f t="shared" si="1"/>
        <v>Nairobi</v>
      </c>
      <c r="F28" t="s">
        <v>140</v>
      </c>
      <c r="G28" t="str">
        <f t="shared" si="2"/>
        <v>Simon Mwenda</v>
      </c>
      <c r="H28" t="s">
        <v>46</v>
      </c>
      <c r="I28" t="str">
        <f t="shared" si="3"/>
        <v>Clothing</v>
      </c>
      <c r="J28" t="s">
        <v>53</v>
      </c>
      <c r="K28" t="s">
        <v>141</v>
      </c>
      <c r="M28">
        <v>2</v>
      </c>
      <c r="N28" t="s">
        <v>23</v>
      </c>
    </row>
    <row r="29" spans="1:14" hidden="1" x14ac:dyDescent="0.35">
      <c r="A29" t="s">
        <v>142</v>
      </c>
      <c r="B29" s="1" t="s">
        <v>143</v>
      </c>
      <c r="C29" s="1" t="str">
        <f t="shared" si="0"/>
        <v>27-01-2025</v>
      </c>
      <c r="D29" t="s">
        <v>26</v>
      </c>
      <c r="E29" t="str">
        <f t="shared" si="1"/>
        <v>Mombasa</v>
      </c>
      <c r="F29" t="s">
        <v>144</v>
      </c>
      <c r="G29" t="str">
        <f t="shared" si="2"/>
        <v>Sarah Juma</v>
      </c>
      <c r="H29" t="s">
        <v>46</v>
      </c>
      <c r="I29" t="str">
        <f t="shared" si="3"/>
        <v>Clothing</v>
      </c>
      <c r="J29" t="s">
        <v>58</v>
      </c>
      <c r="K29" t="s">
        <v>145</v>
      </c>
      <c r="M29">
        <v>1</v>
      </c>
      <c r="N29" t="s">
        <v>16</v>
      </c>
    </row>
    <row r="30" spans="1:14" hidden="1" x14ac:dyDescent="0.35">
      <c r="A30" t="s">
        <v>146</v>
      </c>
      <c r="B30" s="1" t="s">
        <v>147</v>
      </c>
      <c r="C30" s="1" t="str">
        <f t="shared" si="0"/>
        <v>28-01-2025</v>
      </c>
      <c r="D30" t="s">
        <v>33</v>
      </c>
      <c r="E30" t="str">
        <f t="shared" si="1"/>
        <v>Kisumu</v>
      </c>
      <c r="F30" t="s">
        <v>148</v>
      </c>
      <c r="G30" t="str">
        <f t="shared" si="2"/>
        <v>Patrick Oloo</v>
      </c>
      <c r="H30" t="s">
        <v>28</v>
      </c>
      <c r="I30" t="str">
        <f t="shared" si="3"/>
        <v>Home</v>
      </c>
      <c r="J30" t="s">
        <v>149</v>
      </c>
      <c r="K30" t="s">
        <v>150</v>
      </c>
      <c r="M30">
        <v>1</v>
      </c>
      <c r="N30" t="s">
        <v>16</v>
      </c>
    </row>
    <row r="31" spans="1:14" hidden="1" x14ac:dyDescent="0.35">
      <c r="A31" t="s">
        <v>151</v>
      </c>
      <c r="B31" s="1" t="s">
        <v>152</v>
      </c>
      <c r="C31" s="1" t="str">
        <f t="shared" si="0"/>
        <v>28-01-2025</v>
      </c>
      <c r="D31" t="s">
        <v>39</v>
      </c>
      <c r="E31" t="str">
        <f t="shared" si="1"/>
        <v>Nakuru</v>
      </c>
      <c r="F31" t="s">
        <v>153</v>
      </c>
      <c r="G31" t="str">
        <f t="shared" si="2"/>
        <v>Esther Chelimo</v>
      </c>
      <c r="H31" t="s">
        <v>13</v>
      </c>
      <c r="I31" t="str">
        <f t="shared" si="3"/>
        <v>Electronics</v>
      </c>
      <c r="J31" t="s">
        <v>41</v>
      </c>
      <c r="K31" t="s">
        <v>154</v>
      </c>
      <c r="M31">
        <v>1</v>
      </c>
      <c r="N31" t="s">
        <v>23</v>
      </c>
    </row>
    <row r="32" spans="1:14" x14ac:dyDescent="0.35">
      <c r="A32" t="s">
        <v>155</v>
      </c>
      <c r="B32" s="1" t="s">
        <v>156</v>
      </c>
      <c r="C32" s="1" t="str">
        <f t="shared" si="0"/>
        <v>29-01-2025</v>
      </c>
      <c r="D32" t="s">
        <v>11</v>
      </c>
      <c r="E32" t="str">
        <f t="shared" si="1"/>
        <v>Nairobi</v>
      </c>
      <c r="F32" t="s">
        <v>157</v>
      </c>
      <c r="G32" t="str">
        <f t="shared" si="2"/>
        <v>Brian Karanja</v>
      </c>
      <c r="H32" t="s">
        <v>13</v>
      </c>
      <c r="I32" t="str">
        <f t="shared" si="3"/>
        <v>Electronics</v>
      </c>
      <c r="J32" t="s">
        <v>72</v>
      </c>
      <c r="K32" t="s">
        <v>158</v>
      </c>
      <c r="M32">
        <v>1</v>
      </c>
      <c r="N32" t="s">
        <v>16</v>
      </c>
    </row>
    <row r="33" spans="1:14" hidden="1" x14ac:dyDescent="0.35">
      <c r="A33" t="s">
        <v>159</v>
      </c>
      <c r="B33" s="1" t="s">
        <v>160</v>
      </c>
      <c r="C33" s="1" t="str">
        <f t="shared" si="0"/>
        <v>30-01-2025</v>
      </c>
      <c r="D33" t="s">
        <v>26</v>
      </c>
      <c r="E33" t="str">
        <f t="shared" si="1"/>
        <v>Mombasa</v>
      </c>
      <c r="F33" t="s">
        <v>161</v>
      </c>
      <c r="G33" t="str">
        <f t="shared" si="2"/>
        <v>Halima Yusuf</v>
      </c>
      <c r="H33" t="s">
        <v>28</v>
      </c>
      <c r="I33" t="str">
        <f t="shared" si="3"/>
        <v>Home</v>
      </c>
      <c r="J33" t="s">
        <v>76</v>
      </c>
      <c r="K33" t="s">
        <v>82</v>
      </c>
      <c r="M33">
        <v>1</v>
      </c>
      <c r="N33" t="s">
        <v>23</v>
      </c>
    </row>
    <row r="34" spans="1:14" hidden="1" x14ac:dyDescent="0.35">
      <c r="A34" t="s">
        <v>162</v>
      </c>
      <c r="B34" s="1" t="s">
        <v>163</v>
      </c>
      <c r="C34" s="1" t="str">
        <f t="shared" si="0"/>
        <v>30-01-2025</v>
      </c>
      <c r="D34" t="s">
        <v>33</v>
      </c>
      <c r="E34" t="str">
        <f t="shared" si="1"/>
        <v>Kisumu</v>
      </c>
      <c r="F34" t="s">
        <v>164</v>
      </c>
      <c r="G34" t="str">
        <f t="shared" si="2"/>
        <v>Tom Onyango</v>
      </c>
      <c r="H34" t="s">
        <v>46</v>
      </c>
      <c r="I34" t="str">
        <f t="shared" si="3"/>
        <v>Clothing</v>
      </c>
      <c r="J34" t="s">
        <v>47</v>
      </c>
      <c r="K34" t="s">
        <v>48</v>
      </c>
      <c r="M34">
        <v>4</v>
      </c>
      <c r="N34" t="s">
        <v>16</v>
      </c>
    </row>
    <row r="35" spans="1:14" hidden="1" x14ac:dyDescent="0.35">
      <c r="A35" t="s">
        <v>165</v>
      </c>
      <c r="B35" s="1" t="s">
        <v>166</v>
      </c>
      <c r="C35" s="1" t="str">
        <f t="shared" si="0"/>
        <v>31-01-2025</v>
      </c>
      <c r="D35" t="s">
        <v>39</v>
      </c>
      <c r="E35" t="str">
        <f t="shared" si="1"/>
        <v>Nakuru</v>
      </c>
      <c r="F35" t="s">
        <v>167</v>
      </c>
      <c r="G35" t="str">
        <f t="shared" si="2"/>
        <v>Daniel Kipkirui</v>
      </c>
      <c r="H35" t="s">
        <v>13</v>
      </c>
      <c r="I35" t="str">
        <f t="shared" si="3"/>
        <v>Electronics</v>
      </c>
      <c r="J35" t="s">
        <v>21</v>
      </c>
      <c r="K35" t="s">
        <v>168</v>
      </c>
      <c r="M35">
        <v>1</v>
      </c>
      <c r="N35" t="s">
        <v>16</v>
      </c>
    </row>
    <row r="36" spans="1:14" hidden="1" x14ac:dyDescent="0.35">
      <c r="A36" t="s">
        <v>169</v>
      </c>
      <c r="B36" s="1" t="s">
        <v>170</v>
      </c>
      <c r="C36" s="1" t="str">
        <f t="shared" si="0"/>
        <v>01-02-2025</v>
      </c>
      <c r="D36" t="s">
        <v>11</v>
      </c>
      <c r="E36" t="str">
        <f t="shared" si="1"/>
        <v>Nairobi</v>
      </c>
      <c r="F36" t="s">
        <v>171</v>
      </c>
      <c r="G36" t="str">
        <f t="shared" si="2"/>
        <v>Mercy Wairimu</v>
      </c>
      <c r="H36" t="s">
        <v>28</v>
      </c>
      <c r="I36" t="str">
        <f t="shared" si="3"/>
        <v>Home</v>
      </c>
      <c r="J36" t="s">
        <v>103</v>
      </c>
      <c r="K36" t="s">
        <v>172</v>
      </c>
      <c r="M36">
        <v>1</v>
      </c>
      <c r="N36" t="s">
        <v>23</v>
      </c>
    </row>
  </sheetData>
  <autoFilter ref="A1:P36">
    <filterColumn colId="9">
      <filters>
        <filter val="Tablet"/>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
  <sheetViews>
    <sheetView tabSelected="1" topLeftCell="L1" workbookViewId="0">
      <selection activeCell="M4" sqref="M4:N4"/>
      <pivotSelection pane="bottomRight" showHeader="1" extendable="1" start="1" max="5" activeRow="3" activeCol="12" click="1" r:id="rId5">
        <pivotArea dataOnly="0" fieldPosition="0">
          <references count="1">
            <reference field="3" count="1">
              <x v="2"/>
            </reference>
          </references>
        </pivotArea>
      </pivotSelection>
    </sheetView>
  </sheetViews>
  <sheetFormatPr defaultRowHeight="14.5" x14ac:dyDescent="0.35"/>
  <cols>
    <col min="1" max="1" width="9.54296875" customWidth="1"/>
    <col min="2" max="2" width="12.7265625" style="1" customWidth="1"/>
    <col min="3" max="3" width="25.7265625" style="1" bestFit="1" customWidth="1"/>
    <col min="5" max="5" width="16.90625" customWidth="1"/>
    <col min="6" max="6" width="16.1796875" customWidth="1"/>
    <col min="7" max="7" width="14.453125" bestFit="1" customWidth="1"/>
    <col min="8" max="8" width="14.81640625" customWidth="1"/>
    <col min="9" max="9" width="10.1796875" customWidth="1"/>
    <col min="10" max="10" width="9.6328125" customWidth="1"/>
    <col min="13" max="13" width="12.36328125" customWidth="1"/>
    <col min="14" max="14" width="19.26953125" bestFit="1" customWidth="1"/>
    <col min="16" max="16" width="12.36328125" customWidth="1"/>
    <col min="17" max="17" width="22.453125" bestFit="1" customWidth="1"/>
  </cols>
  <sheetData>
    <row r="1" spans="1:21" ht="21" x14ac:dyDescent="0.5">
      <c r="A1" t="s">
        <v>0</v>
      </c>
      <c r="B1" s="1" t="s">
        <v>206</v>
      </c>
      <c r="C1" s="1" t="s">
        <v>214</v>
      </c>
      <c r="D1" t="s">
        <v>2</v>
      </c>
      <c r="E1" t="s">
        <v>207</v>
      </c>
      <c r="F1" t="s">
        <v>209</v>
      </c>
      <c r="G1" t="s">
        <v>5</v>
      </c>
      <c r="H1" t="s">
        <v>194</v>
      </c>
      <c r="I1" t="s">
        <v>7</v>
      </c>
      <c r="J1" t="s">
        <v>8</v>
      </c>
      <c r="M1" s="33" t="s">
        <v>218</v>
      </c>
      <c r="N1" s="33"/>
      <c r="O1" s="33"/>
      <c r="P1" s="33"/>
      <c r="Q1" s="33"/>
      <c r="R1" s="33"/>
      <c r="S1" s="33"/>
      <c r="T1" s="33"/>
      <c r="U1" s="33"/>
    </row>
    <row r="2" spans="1:21" x14ac:dyDescent="0.35">
      <c r="A2" t="s">
        <v>9</v>
      </c>
      <c r="B2" s="1" t="s">
        <v>174</v>
      </c>
      <c r="C2" s="1">
        <f>DATEVALUE(Table3[[#This Row],[Order_Date]])</f>
        <v>45662</v>
      </c>
      <c r="D2" t="s">
        <v>11</v>
      </c>
      <c r="E2" t="s">
        <v>196</v>
      </c>
      <c r="F2" t="str">
        <f>PROPER(TRIM('UrbanMart Sales Jan 2025(Orig)'!H2))</f>
        <v>Electronics</v>
      </c>
      <c r="G2" t="str">
        <f>PROPER(TRIM('UrbanMart Sales Jan 2025(Orig)'!J2))</f>
        <v>Smartphone</v>
      </c>
      <c r="H2">
        <f>VALUE(SUBSTITUTE('UrbanMart Sales Jan 2025(Orig)'!K2,"Ksh",""))</f>
        <v>120000</v>
      </c>
      <c r="I2">
        <f>VALUE('UrbanMart Sales Jan 2025(Orig)'!M2)</f>
        <v>2</v>
      </c>
      <c r="J2" t="str">
        <f>PROPER(TRIM('UrbanMart Sales Jan 2025(Orig)'!N2))</f>
        <v>Online</v>
      </c>
      <c r="M2" s="26" t="s">
        <v>210</v>
      </c>
      <c r="N2" t="s">
        <v>212</v>
      </c>
    </row>
    <row r="3" spans="1:21" x14ac:dyDescent="0.35">
      <c r="A3" t="s">
        <v>17</v>
      </c>
      <c r="B3" s="1" t="s">
        <v>174</v>
      </c>
      <c r="C3" s="1">
        <f>DATEVALUE(Table3[[#This Row],[Order_Date]])</f>
        <v>45662</v>
      </c>
      <c r="D3" t="s">
        <v>11</v>
      </c>
      <c r="E3" t="s">
        <v>20</v>
      </c>
      <c r="F3" t="str">
        <f>PROPER(TRIM('UrbanMart Sales Jan 2025(Orig)'!H3))</f>
        <v>Electronics</v>
      </c>
      <c r="G3" t="str">
        <f>PROPER(TRIM('UrbanMart Sales Jan 2025(Orig)'!J3))</f>
        <v>Laptop</v>
      </c>
      <c r="H3">
        <f>VALUE(SUBSTITUTE('UrbanMart Sales Jan 2025(Orig)'!K3,"Ksh",""))</f>
        <v>85000</v>
      </c>
      <c r="I3">
        <f>VALUE('UrbanMart Sales Jan 2025(Orig)'!M3)</f>
        <v>1</v>
      </c>
      <c r="J3" t="str">
        <f>PROPER(TRIM('UrbanMart Sales Jan 2025(Orig)'!N3))</f>
        <v>In-Store</v>
      </c>
      <c r="M3" s="27" t="s">
        <v>33</v>
      </c>
      <c r="N3" s="28">
        <v>217200</v>
      </c>
      <c r="P3" s="26" t="s">
        <v>210</v>
      </c>
      <c r="Q3" t="s">
        <v>212</v>
      </c>
    </row>
    <row r="4" spans="1:21" x14ac:dyDescent="0.35">
      <c r="A4" t="s">
        <v>24</v>
      </c>
      <c r="B4" s="1" t="s">
        <v>175</v>
      </c>
      <c r="C4" s="1">
        <f>DATEVALUE(Table3[[#This Row],[Order_Date]])</f>
        <v>45664</v>
      </c>
      <c r="D4" t="s">
        <v>26</v>
      </c>
      <c r="E4" t="s">
        <v>27</v>
      </c>
      <c r="F4" t="str">
        <f>PROPER(TRIM('UrbanMart Sales Jan 2025(Orig)'!H4))</f>
        <v>Home</v>
      </c>
      <c r="G4" t="str">
        <f>PROPER(TRIM('UrbanMart Sales Jan 2025(Orig)'!J4))</f>
        <v>Microwave</v>
      </c>
      <c r="H4">
        <f>VALUE(SUBSTITUTE('UrbanMart Sales Jan 2025(Orig)'!K4,"Ksh",""))</f>
        <v>45000</v>
      </c>
      <c r="I4">
        <f>VALUE('UrbanMart Sales Jan 2025(Orig)'!M4)</f>
        <v>1</v>
      </c>
      <c r="J4" t="str">
        <f>PROPER(TRIM('UrbanMart Sales Jan 2025(Orig)'!N4))</f>
        <v>In-Store</v>
      </c>
      <c r="M4" s="27" t="s">
        <v>11</v>
      </c>
      <c r="N4" s="28">
        <v>291300</v>
      </c>
      <c r="P4" s="27" t="s">
        <v>216</v>
      </c>
      <c r="Q4" s="28">
        <v>1156600</v>
      </c>
    </row>
    <row r="5" spans="1:21" x14ac:dyDescent="0.35">
      <c r="A5" t="s">
        <v>31</v>
      </c>
      <c r="B5" s="1" t="s">
        <v>38</v>
      </c>
      <c r="C5" s="1">
        <f>DATEVALUE(Table3[[#This Row],[Order_Date]])</f>
        <v>45665</v>
      </c>
      <c r="D5" t="s">
        <v>33</v>
      </c>
      <c r="E5" t="s">
        <v>197</v>
      </c>
      <c r="F5" t="str">
        <f>PROPER(TRIM('UrbanMart Sales Jan 2025(Orig)'!H5))</f>
        <v>Home</v>
      </c>
      <c r="G5" t="str">
        <f>PROPER(TRIM('UrbanMart Sales Jan 2025(Orig)'!J5))</f>
        <v>Blender</v>
      </c>
      <c r="H5">
        <f>VALUE(SUBSTITUTE('UrbanMart Sales Jan 2025(Orig)'!K5,"Ksh",""))</f>
        <v>15000</v>
      </c>
      <c r="I5">
        <f>VALUE('UrbanMart Sales Jan 2025(Orig)'!M5)</f>
        <v>2</v>
      </c>
      <c r="J5" t="str">
        <f>PROPER(TRIM('UrbanMart Sales Jan 2025(Orig)'!N5))</f>
        <v>Online</v>
      </c>
      <c r="M5" s="27" t="s">
        <v>26</v>
      </c>
      <c r="N5" s="28">
        <v>322800</v>
      </c>
      <c r="P5" s="27" t="s">
        <v>215</v>
      </c>
      <c r="Q5" s="28">
        <v>3800</v>
      </c>
    </row>
    <row r="6" spans="1:21" x14ac:dyDescent="0.35">
      <c r="A6" t="s">
        <v>37</v>
      </c>
      <c r="B6" s="1" t="s">
        <v>38</v>
      </c>
      <c r="C6" s="1">
        <f>DATEVALUE(Table3[[#This Row],[Order_Date]])</f>
        <v>45665</v>
      </c>
      <c r="D6" t="s">
        <v>39</v>
      </c>
      <c r="E6" t="s">
        <v>40</v>
      </c>
      <c r="F6" t="str">
        <f>PROPER(TRIM('UrbanMart Sales Jan 2025(Orig)'!H6))</f>
        <v>Electronics</v>
      </c>
      <c r="G6" t="str">
        <f>PROPER(TRIM('UrbanMart Sales Jan 2025(Orig)'!J6))</f>
        <v>Headphones</v>
      </c>
      <c r="H6">
        <f>VALUE(SUBSTITUTE('UrbanMart Sales Jan 2025(Orig)'!K6,"Ksh",""))</f>
        <v>8000</v>
      </c>
      <c r="I6">
        <f>VALUE('UrbanMart Sales Jan 2025(Orig)'!M6)</f>
        <v>3</v>
      </c>
      <c r="J6" t="str">
        <f>PROPER(TRIM('UrbanMart Sales Jan 2025(Orig)'!N6))</f>
        <v>Online</v>
      </c>
      <c r="M6" s="27" t="s">
        <v>39</v>
      </c>
      <c r="N6" s="28">
        <v>325300</v>
      </c>
      <c r="P6" s="27" t="s">
        <v>211</v>
      </c>
      <c r="Q6" s="28">
        <v>1160400</v>
      </c>
    </row>
    <row r="7" spans="1:21" x14ac:dyDescent="0.35">
      <c r="A7" t="s">
        <v>43</v>
      </c>
      <c r="B7" s="1" t="s">
        <v>176</v>
      </c>
      <c r="C7" s="1">
        <f>DATEVALUE(Table3[[#This Row],[Order_Date]])</f>
        <v>45667</v>
      </c>
      <c r="D7" t="s">
        <v>11</v>
      </c>
      <c r="E7" t="s">
        <v>45</v>
      </c>
      <c r="F7" t="str">
        <f>PROPER(TRIM('UrbanMart Sales Jan 2025(Orig)'!H7))</f>
        <v>Clothing</v>
      </c>
      <c r="G7" t="str">
        <f>PROPER(TRIM('UrbanMart Sales Jan 2025(Orig)'!J7))</f>
        <v>T-Shirt</v>
      </c>
      <c r="H7">
        <f>VALUE(SUBSTITUTE('UrbanMart Sales Jan 2025(Orig)'!K7,"Ksh",""))</f>
        <v>2500</v>
      </c>
      <c r="I7">
        <f>VALUE('UrbanMart Sales Jan 2025(Orig)'!M7)</f>
        <v>5</v>
      </c>
      <c r="J7" t="str">
        <f>PROPER(TRIM('UrbanMart Sales Jan 2025(Orig)'!N7))</f>
        <v>In-Store</v>
      </c>
      <c r="M7" s="27" t="s">
        <v>211</v>
      </c>
      <c r="N7" s="28">
        <v>1156600</v>
      </c>
    </row>
    <row r="8" spans="1:21" x14ac:dyDescent="0.35">
      <c r="A8" t="s">
        <v>49</v>
      </c>
      <c r="B8" s="1" t="s">
        <v>177</v>
      </c>
      <c r="C8" s="1">
        <f>DATEVALUE(Table3[[#This Row],[Order_Date]])</f>
        <v>45668</v>
      </c>
      <c r="D8" t="s">
        <v>11</v>
      </c>
      <c r="E8" t="s">
        <v>52</v>
      </c>
      <c r="F8" t="str">
        <f>PROPER(TRIM('UrbanMart Sales Jan 2025(Orig)'!H8))</f>
        <v>Clothing</v>
      </c>
      <c r="G8" t="str">
        <f>PROPER(TRIM('UrbanMart Sales Jan 2025(Orig)'!J8))</f>
        <v>Jeans</v>
      </c>
      <c r="H8">
        <f>VALUE(SUBSTITUTE('UrbanMart Sales Jan 2025(Orig)'!K8,"Ksh",""))</f>
        <v>5500</v>
      </c>
      <c r="I8">
        <f>VALUE('UrbanMart Sales Jan 2025(Orig)'!M8)</f>
        <v>2</v>
      </c>
      <c r="J8" t="str">
        <f>PROPER(TRIM('UrbanMart Sales Jan 2025(Orig)'!N8))</f>
        <v>Online</v>
      </c>
    </row>
    <row r="9" spans="1:21" x14ac:dyDescent="0.35">
      <c r="A9" t="s">
        <v>55</v>
      </c>
      <c r="B9" s="1" t="s">
        <v>177</v>
      </c>
      <c r="C9" s="1">
        <f>DATEVALUE(Table3[[#This Row],[Order_Date]])</f>
        <v>45668</v>
      </c>
      <c r="D9" t="s">
        <v>26</v>
      </c>
      <c r="E9" t="s">
        <v>57</v>
      </c>
      <c r="F9" t="str">
        <f>PROPER(TRIM('UrbanMart Sales Jan 2025(Orig)'!H9))</f>
        <v>Clothing</v>
      </c>
      <c r="G9" t="str">
        <f>PROPER(TRIM('UrbanMart Sales Jan 2025(Orig)'!J9))</f>
        <v>Dress</v>
      </c>
      <c r="H9">
        <f>VALUE(SUBSTITUTE('UrbanMart Sales Jan 2025(Orig)'!K9,"Ksh",""))</f>
        <v>6500</v>
      </c>
      <c r="I9">
        <f>VALUE('UrbanMart Sales Jan 2025(Orig)'!M9)</f>
        <v>1</v>
      </c>
      <c r="J9" t="str">
        <f>PROPER(TRIM('UrbanMart Sales Jan 2025(Orig)'!N9))</f>
        <v>In-Store</v>
      </c>
    </row>
    <row r="10" spans="1:21" x14ac:dyDescent="0.35">
      <c r="A10" t="s">
        <v>60</v>
      </c>
      <c r="B10" s="1" t="s">
        <v>178</v>
      </c>
      <c r="C10" s="1">
        <f>DATEVALUE(Table3[[#This Row],[Order_Date]])</f>
        <v>45669</v>
      </c>
      <c r="D10" t="s">
        <v>33</v>
      </c>
      <c r="E10" t="s">
        <v>198</v>
      </c>
      <c r="F10" t="str">
        <f>PROPER(TRIM('UrbanMart Sales Jan 2025(Orig)'!H10))</f>
        <v>Electronics</v>
      </c>
      <c r="G10" t="str">
        <f>PROPER(TRIM('UrbanMart Sales Jan 2025(Orig)'!J10))</f>
        <v>Smartphone</v>
      </c>
      <c r="H10">
        <f>VALUE(SUBSTITUTE('UrbanMart Sales Jan 2025(Orig)'!K10,"Ksh",""))</f>
        <v>118000</v>
      </c>
      <c r="I10">
        <f>VALUE('UrbanMart Sales Jan 2025(Orig)'!M10)</f>
        <v>1</v>
      </c>
      <c r="J10" t="str">
        <f>PROPER(TRIM('UrbanMart Sales Jan 2025(Orig)'!N10))</f>
        <v>Online</v>
      </c>
    </row>
    <row r="11" spans="1:21" x14ac:dyDescent="0.35">
      <c r="A11" t="s">
        <v>64</v>
      </c>
      <c r="B11" s="1" t="s">
        <v>179</v>
      </c>
      <c r="C11" s="1">
        <f>DATEVALUE(Table3[[#This Row],[Order_Date]])</f>
        <v>45670</v>
      </c>
      <c r="D11" t="s">
        <v>39</v>
      </c>
      <c r="E11" t="s">
        <v>66</v>
      </c>
      <c r="F11" t="str">
        <f>PROPER(TRIM('UrbanMart Sales Jan 2025(Orig)'!H11))</f>
        <v>Home</v>
      </c>
      <c r="G11" t="str">
        <f>PROPER(TRIM('UrbanMart Sales Jan 2025(Orig)'!J11))</f>
        <v>Kettle</v>
      </c>
      <c r="H11">
        <f>VALUE(SUBSTITUTE('UrbanMart Sales Jan 2025(Orig)'!K11,"Ksh",""))</f>
        <v>3500</v>
      </c>
      <c r="I11">
        <f>VALUE('UrbanMart Sales Jan 2025(Orig)'!M11)</f>
        <v>2</v>
      </c>
      <c r="J11" t="str">
        <f>PROPER(TRIM('UrbanMart Sales Jan 2025(Orig)'!N11))</f>
        <v>In-Store</v>
      </c>
    </row>
    <row r="12" spans="1:21" x14ac:dyDescent="0.35">
      <c r="A12" t="s">
        <v>73</v>
      </c>
      <c r="B12" s="1" t="s">
        <v>180</v>
      </c>
      <c r="C12" s="1">
        <f>DATEVALUE(Table3[[#This Row],[Order_Date]])</f>
        <v>45671</v>
      </c>
      <c r="D12" t="s">
        <v>26</v>
      </c>
      <c r="E12" t="s">
        <v>75</v>
      </c>
      <c r="F12" t="str">
        <f>PROPER(TRIM('UrbanMart Sales Jan 2025(Orig)'!H13))</f>
        <v>Home</v>
      </c>
      <c r="G12" t="str">
        <f>PROPER(TRIM('UrbanMart Sales Jan 2025(Orig)'!J13))</f>
        <v>Toaster</v>
      </c>
      <c r="H12">
        <f>VALUE(SUBSTITUTE('UrbanMart Sales Jan 2025(Orig)'!K13,"Ksh",""))</f>
        <v>2800</v>
      </c>
      <c r="I12">
        <f>VALUE('UrbanMart Sales Jan 2025(Orig)'!M13)</f>
        <v>1</v>
      </c>
      <c r="J12" t="str">
        <f>PROPER(TRIM('UrbanMart Sales Jan 2025(Orig)'!N13))</f>
        <v>Online</v>
      </c>
      <c r="P12" s="26" t="s">
        <v>209</v>
      </c>
      <c r="Q12" t="s">
        <v>13</v>
      </c>
    </row>
    <row r="13" spans="1:21" x14ac:dyDescent="0.35">
      <c r="A13" t="s">
        <v>78</v>
      </c>
      <c r="B13" s="1" t="s">
        <v>181</v>
      </c>
      <c r="C13" s="1">
        <f>DATEVALUE(Table3[[#This Row],[Order_Date]])</f>
        <v>45672</v>
      </c>
      <c r="D13" t="s">
        <v>33</v>
      </c>
      <c r="E13" t="s">
        <v>80</v>
      </c>
      <c r="F13" t="str">
        <f>PROPER(TRIM('UrbanMart Sales Jan 2025(Orig)'!H14))</f>
        <v>Clothing</v>
      </c>
      <c r="G13" t="str">
        <f>PROPER(TRIM('UrbanMart Sales Jan 2025(Orig)'!J14))</f>
        <v>Shirt</v>
      </c>
      <c r="H13">
        <f>VALUE(SUBSTITUTE('UrbanMart Sales Jan 2025(Orig)'!K14,"Ksh",""))</f>
        <v>3000</v>
      </c>
      <c r="I13">
        <f>VALUE('UrbanMart Sales Jan 2025(Orig)'!M14)</f>
        <v>3</v>
      </c>
      <c r="J13" t="str">
        <f>PROPER(TRIM('UrbanMart Sales Jan 2025(Orig)'!N14))</f>
        <v>In-Store</v>
      </c>
      <c r="M13" s="32" t="s">
        <v>213</v>
      </c>
      <c r="N13" s="32"/>
    </row>
    <row r="14" spans="1:21" x14ac:dyDescent="0.35">
      <c r="A14" t="s">
        <v>83</v>
      </c>
      <c r="B14" s="1" t="s">
        <v>88</v>
      </c>
      <c r="C14" s="1">
        <f>DATEVALUE(Table3[[#This Row],[Order_Date]])</f>
        <v>45673</v>
      </c>
      <c r="D14" t="s">
        <v>39</v>
      </c>
      <c r="E14" t="s">
        <v>199</v>
      </c>
      <c r="F14" t="str">
        <f>PROPER(TRIM('UrbanMart Sales Jan 2025(Orig)'!H15))</f>
        <v>Electronics</v>
      </c>
      <c r="G14" t="str">
        <f>PROPER(TRIM('UrbanMart Sales Jan 2025(Orig)'!J15))</f>
        <v>Laptop</v>
      </c>
      <c r="H14">
        <f>VALUE(SUBSTITUTE('UrbanMart Sales Jan 2025(Orig)'!K15,"Ksh",""))</f>
        <v>95000</v>
      </c>
      <c r="I14">
        <f>VALUE('UrbanMart Sales Jan 2025(Orig)'!M15)</f>
        <v>1</v>
      </c>
      <c r="J14" t="str">
        <f>PROPER(TRIM('UrbanMart Sales Jan 2025(Orig)'!N15))</f>
        <v>Online</v>
      </c>
      <c r="M14" s="26" t="s">
        <v>210</v>
      </c>
      <c r="N14" t="s">
        <v>212</v>
      </c>
      <c r="P14" s="26" t="s">
        <v>210</v>
      </c>
      <c r="Q14" t="s">
        <v>217</v>
      </c>
    </row>
    <row r="15" spans="1:21" x14ac:dyDescent="0.35">
      <c r="A15" t="s">
        <v>87</v>
      </c>
      <c r="B15" s="1" t="s">
        <v>88</v>
      </c>
      <c r="C15" s="1">
        <f>DATEVALUE(Table3[[#This Row],[Order_Date]])</f>
        <v>45673</v>
      </c>
      <c r="D15" t="s">
        <v>11</v>
      </c>
      <c r="E15" t="s">
        <v>89</v>
      </c>
      <c r="F15" t="str">
        <f>PROPER(TRIM('UrbanMart Sales Jan 2025(Orig)'!H16))</f>
        <v>Home</v>
      </c>
      <c r="G15" t="str">
        <f>PROPER(TRIM('UrbanMart Sales Jan 2025(Orig)'!J16))</f>
        <v>Vacuum Cleaner</v>
      </c>
      <c r="H15">
        <f>VALUE(SUBSTITUTE('UrbanMart Sales Jan 2025(Orig)'!K16,"Ksh",""))</f>
        <v>22000</v>
      </c>
      <c r="I15">
        <f>VALUE('UrbanMart Sales Jan 2025(Orig)'!M16)</f>
        <v>1</v>
      </c>
      <c r="J15" t="str">
        <f>PROPER(TRIM('UrbanMart Sales Jan 2025(Orig)'!N16))</f>
        <v>In-Store</v>
      </c>
      <c r="M15" s="27" t="s">
        <v>46</v>
      </c>
      <c r="N15" s="28">
        <v>41600</v>
      </c>
      <c r="P15" s="27" t="s">
        <v>33</v>
      </c>
      <c r="Q15" s="28">
        <v>78500</v>
      </c>
    </row>
    <row r="16" spans="1:21" x14ac:dyDescent="0.35">
      <c r="A16" t="s">
        <v>92</v>
      </c>
      <c r="B16" s="1" t="s">
        <v>182</v>
      </c>
      <c r="C16" s="1">
        <f>DATEVALUE(Table3[[#This Row],[Order_Date]])</f>
        <v>45675</v>
      </c>
      <c r="D16" t="s">
        <v>26</v>
      </c>
      <c r="E16" t="s">
        <v>94</v>
      </c>
      <c r="F16" t="str">
        <f>PROPER(TRIM('UrbanMart Sales Jan 2025(Orig)'!H17))</f>
        <v>Electronics</v>
      </c>
      <c r="G16" t="str">
        <f>PROPER(TRIM('UrbanMart Sales Jan 2025(Orig)'!J17))</f>
        <v>Smartphone</v>
      </c>
      <c r="H16">
        <f>VALUE(SUBSTITUTE('UrbanMart Sales Jan 2025(Orig)'!K17,"Ksh",""))</f>
        <v>110000</v>
      </c>
      <c r="I16">
        <f>VALUE('UrbanMart Sales Jan 2025(Orig)'!M17)</f>
        <v>1</v>
      </c>
      <c r="J16" t="str">
        <f>PROPER(TRIM('UrbanMart Sales Jan 2025(Orig)'!N17))</f>
        <v>Online</v>
      </c>
      <c r="M16" s="27" t="s">
        <v>28</v>
      </c>
      <c r="N16" s="28">
        <v>186300</v>
      </c>
      <c r="P16" s="27" t="s">
        <v>26</v>
      </c>
      <c r="Q16" s="28">
        <v>106000</v>
      </c>
    </row>
    <row r="17" spans="1:17" x14ac:dyDescent="0.35">
      <c r="A17" t="s">
        <v>96</v>
      </c>
      <c r="B17" s="1" t="s">
        <v>182</v>
      </c>
      <c r="C17" s="1">
        <f>DATEVALUE(Table3[[#This Row],[Order_Date]])</f>
        <v>45675</v>
      </c>
      <c r="D17" t="s">
        <v>33</v>
      </c>
      <c r="E17" t="s">
        <v>97</v>
      </c>
      <c r="F17" t="str">
        <f>PROPER(TRIM('UrbanMart Sales Jan 2025(Orig)'!H18))</f>
        <v>Clothing</v>
      </c>
      <c r="G17" t="str">
        <f>PROPER(TRIM('UrbanMart Sales Jan 2025(Orig)'!J18))</f>
        <v>Skirt</v>
      </c>
      <c r="H17">
        <f>VALUE(SUBSTITUTE('UrbanMart Sales Jan 2025(Orig)'!K18,"Ksh",""))</f>
        <v>2700</v>
      </c>
      <c r="I17">
        <f>VALUE('UrbanMart Sales Jan 2025(Orig)'!M18)</f>
        <v>2</v>
      </c>
      <c r="J17" t="str">
        <f>PROPER(TRIM('UrbanMart Sales Jan 2025(Orig)'!N18))</f>
        <v>In-Store</v>
      </c>
      <c r="M17" s="27" t="s">
        <v>13</v>
      </c>
      <c r="N17" s="28">
        <v>932500</v>
      </c>
      <c r="P17" s="27" t="s">
        <v>11</v>
      </c>
      <c r="Q17" s="28">
        <v>63125</v>
      </c>
    </row>
    <row r="18" spans="1:17" x14ac:dyDescent="0.35">
      <c r="A18" t="s">
        <v>100</v>
      </c>
      <c r="B18" s="1" t="s">
        <v>182</v>
      </c>
      <c r="C18" s="1">
        <f>DATEVALUE(Table3[[#This Row],[Order_Date]])</f>
        <v>45675</v>
      </c>
      <c r="D18" t="s">
        <v>39</v>
      </c>
      <c r="E18" t="s">
        <v>102</v>
      </c>
      <c r="F18" t="str">
        <f>PROPER(TRIM('UrbanMart Sales Jan 2025(Orig)'!H19))</f>
        <v>Home</v>
      </c>
      <c r="G18" t="str">
        <f>PROPER(TRIM('UrbanMart Sales Jan 2025(Orig)'!J19))</f>
        <v>Iron Box</v>
      </c>
      <c r="H18">
        <f>VALUE(SUBSTITUTE('UrbanMart Sales Jan 2025(Orig)'!K19,"Ksh",""))</f>
        <v>4000</v>
      </c>
      <c r="I18">
        <f>VALUE('UrbanMart Sales Jan 2025(Orig)'!M19)</f>
        <v>1</v>
      </c>
      <c r="J18" t="str">
        <f>PROPER(TRIM('UrbanMart Sales Jan 2025(Orig)'!N19))</f>
        <v>Online</v>
      </c>
      <c r="M18" s="27" t="s">
        <v>211</v>
      </c>
      <c r="N18" s="28">
        <v>1160400</v>
      </c>
      <c r="P18" s="27" t="s">
        <v>39</v>
      </c>
      <c r="Q18" s="28">
        <v>62200</v>
      </c>
    </row>
    <row r="19" spans="1:17" x14ac:dyDescent="0.35">
      <c r="A19" t="s">
        <v>105</v>
      </c>
      <c r="B19" s="1" t="s">
        <v>183</v>
      </c>
      <c r="C19" s="1">
        <f>DATEVALUE(Table3[[#This Row],[Order_Date]])</f>
        <v>45677</v>
      </c>
      <c r="D19" t="s">
        <v>11</v>
      </c>
      <c r="E19" t="s">
        <v>200</v>
      </c>
      <c r="F19" t="str">
        <f>PROPER(TRIM('UrbanMart Sales Jan 2025(Orig)'!H20))</f>
        <v>Electronics</v>
      </c>
      <c r="G19" t="str">
        <f>PROPER(TRIM('UrbanMart Sales Jan 2025(Orig)'!J20))</f>
        <v>Headphones</v>
      </c>
      <c r="H19">
        <f>VALUE(SUBSTITUTE('UrbanMart Sales Jan 2025(Orig)'!K20,"Ksh",""))</f>
        <v>7500</v>
      </c>
      <c r="I19">
        <f>VALUE('UrbanMart Sales Jan 2025(Orig)'!M20)</f>
        <v>2</v>
      </c>
      <c r="J19" t="str">
        <f>PROPER(TRIM('UrbanMart Sales Jan 2025(Orig)'!N20))</f>
        <v>Online</v>
      </c>
      <c r="P19" s="27" t="s">
        <v>211</v>
      </c>
      <c r="Q19" s="28">
        <v>71730.769230769234</v>
      </c>
    </row>
    <row r="20" spans="1:17" x14ac:dyDescent="0.35">
      <c r="A20" t="s">
        <v>109</v>
      </c>
      <c r="B20" s="1" t="s">
        <v>184</v>
      </c>
      <c r="C20" s="1">
        <f>DATEVALUE(Table3[[#This Row],[Order_Date]])</f>
        <v>45678</v>
      </c>
      <c r="D20" t="s">
        <v>26</v>
      </c>
      <c r="E20" t="s">
        <v>111</v>
      </c>
      <c r="F20" t="str">
        <f>PROPER(TRIM('UrbanMart Sales Jan 2025(Orig)'!H21))</f>
        <v>Home</v>
      </c>
      <c r="G20" t="str">
        <f>PROPER(TRIM('UrbanMart Sales Jan 2025(Orig)'!J21))</f>
        <v>Microwave</v>
      </c>
      <c r="H20">
        <f>VALUE(SUBSTITUTE('UrbanMart Sales Jan 2025(Orig)'!K21,"Ksh",""))</f>
        <v>47000</v>
      </c>
      <c r="I20">
        <f>VALUE('UrbanMart Sales Jan 2025(Orig)'!M21)</f>
        <v>1</v>
      </c>
      <c r="J20" t="str">
        <f>PROPER(TRIM('UrbanMart Sales Jan 2025(Orig)'!N21))</f>
        <v>In-Store</v>
      </c>
    </row>
    <row r="21" spans="1:17" x14ac:dyDescent="0.35">
      <c r="A21" t="s">
        <v>113</v>
      </c>
      <c r="B21" s="1" t="s">
        <v>118</v>
      </c>
      <c r="C21" s="1">
        <f>DATEVALUE(Table3[[#This Row],[Order_Date]])</f>
        <v>45679</v>
      </c>
      <c r="D21" t="s">
        <v>33</v>
      </c>
      <c r="E21" t="s">
        <v>115</v>
      </c>
      <c r="F21" t="str">
        <f>PROPER(TRIM('UrbanMart Sales Jan 2025(Orig)'!H22))</f>
        <v>Electronics</v>
      </c>
      <c r="G21" t="str">
        <f>PROPER(TRIM('UrbanMart Sales Jan 2025(Orig)'!J22))</f>
        <v>Tablet</v>
      </c>
      <c r="H21">
        <f>VALUE(SUBSTITUTE('UrbanMart Sales Jan 2025(Orig)'!K22,"Ksh",""))</f>
        <v>39000</v>
      </c>
      <c r="I21">
        <f>VALUE('UrbanMart Sales Jan 2025(Orig)'!M22)</f>
        <v>1</v>
      </c>
      <c r="J21" t="str">
        <f>PROPER(TRIM('UrbanMart Sales Jan 2025(Orig)'!N22))</f>
        <v>Online</v>
      </c>
    </row>
    <row r="22" spans="1:17" ht="18.5" x14ac:dyDescent="0.45">
      <c r="A22" t="s">
        <v>117</v>
      </c>
      <c r="B22" s="1" t="s">
        <v>118</v>
      </c>
      <c r="C22" s="1">
        <f>DATEVALUE(Table3[[#This Row],[Order_Date]])</f>
        <v>45679</v>
      </c>
      <c r="D22" t="s">
        <v>39</v>
      </c>
      <c r="E22" t="s">
        <v>119</v>
      </c>
      <c r="F22" t="str">
        <f>PROPER(TRIM('UrbanMart Sales Jan 2025(Orig)'!H23))</f>
        <v>Clothing</v>
      </c>
      <c r="G22" t="str">
        <f>PROPER(TRIM('UrbanMart Sales Jan 2025(Orig)'!J23))</f>
        <v>Jacket</v>
      </c>
      <c r="H22">
        <f>VALUE(SUBSTITUTE('UrbanMart Sales Jan 2025(Orig)'!K23,"Ksh",""))</f>
        <v>6800</v>
      </c>
      <c r="I22">
        <f>VALUE('UrbanMart Sales Jan 2025(Orig)'!M23)</f>
        <v>1</v>
      </c>
      <c r="J22" t="str">
        <f>PROPER(TRIM('UrbanMart Sales Jan 2025(Orig)'!N23))</f>
        <v>In-Store</v>
      </c>
      <c r="M22" s="31" t="s">
        <v>219</v>
      </c>
    </row>
    <row r="23" spans="1:17" x14ac:dyDescent="0.35">
      <c r="A23" t="s">
        <v>122</v>
      </c>
      <c r="B23" s="1" t="s">
        <v>185</v>
      </c>
      <c r="C23" s="1">
        <f>DATEVALUE(Table3[[#This Row],[Order_Date]])</f>
        <v>45680</v>
      </c>
      <c r="D23" t="s">
        <v>11</v>
      </c>
      <c r="E23" t="s">
        <v>201</v>
      </c>
      <c r="F23" t="str">
        <f>PROPER(TRIM('UrbanMart Sales Jan 2025(Orig)'!H24))</f>
        <v>Home</v>
      </c>
      <c r="G23" t="str">
        <f>PROPER(TRIM('UrbanMart Sales Jan 2025(Orig)'!J24))</f>
        <v>Kettle</v>
      </c>
      <c r="H23">
        <f>VALUE(SUBSTITUTE('UrbanMart Sales Jan 2025(Orig)'!K24,"Ksh",""))</f>
        <v>3200</v>
      </c>
      <c r="I23">
        <f>VALUE('UrbanMart Sales Jan 2025(Orig)'!M24)</f>
        <v>2</v>
      </c>
      <c r="J23" t="str">
        <f>PROPER(TRIM('UrbanMart Sales Jan 2025(Orig)'!N24))</f>
        <v>Online</v>
      </c>
      <c r="M23" s="17"/>
      <c r="N23" s="18"/>
      <c r="O23" s="19"/>
    </row>
    <row r="24" spans="1:17" x14ac:dyDescent="0.35">
      <c r="A24" t="s">
        <v>126</v>
      </c>
      <c r="B24" s="1" t="s">
        <v>186</v>
      </c>
      <c r="C24" s="1">
        <f>DATEVALUE(Table3[[#This Row],[Order_Date]])</f>
        <v>45681</v>
      </c>
      <c r="D24" t="s">
        <v>26</v>
      </c>
      <c r="E24" t="s">
        <v>128</v>
      </c>
      <c r="F24" t="str">
        <f>PROPER(TRIM('UrbanMart Sales Jan 2025(Orig)'!H25))</f>
        <v>Electronics</v>
      </c>
      <c r="G24" t="str">
        <f>PROPER(TRIM('UrbanMart Sales Jan 2025(Orig)'!J25))</f>
        <v>Laptop</v>
      </c>
      <c r="H24">
        <f>VALUE(SUBSTITUTE('UrbanMart Sales Jan 2025(Orig)'!K25,"Ksh",""))</f>
        <v>102000</v>
      </c>
      <c r="I24">
        <f>VALUE('UrbanMart Sales Jan 2025(Orig)'!M25)</f>
        <v>1</v>
      </c>
      <c r="J24" t="str">
        <f>PROPER(TRIM('UrbanMart Sales Jan 2025(Orig)'!N25))</f>
        <v>Online</v>
      </c>
      <c r="M24" s="20"/>
      <c r="N24" s="21"/>
      <c r="O24" s="22"/>
    </row>
    <row r="25" spans="1:17" x14ac:dyDescent="0.35">
      <c r="A25" t="s">
        <v>130</v>
      </c>
      <c r="B25" s="1" t="s">
        <v>186</v>
      </c>
      <c r="C25" s="1">
        <f>DATEVALUE(Table3[[#This Row],[Order_Date]])</f>
        <v>45681</v>
      </c>
      <c r="D25" t="s">
        <v>33</v>
      </c>
      <c r="E25" t="s">
        <v>132</v>
      </c>
      <c r="F25" t="str">
        <f>PROPER(TRIM('UrbanMart Sales Jan 2025(Orig)'!H26))</f>
        <v>Home</v>
      </c>
      <c r="G25" t="str">
        <f>PROPER(TRIM('UrbanMart Sales Jan 2025(Orig)'!J26))</f>
        <v>Blender</v>
      </c>
      <c r="H25">
        <f>VALUE(SUBSTITUTE('UrbanMart Sales Jan 2025(Orig)'!K26,"Ksh",""))</f>
        <v>16000</v>
      </c>
      <c r="I25">
        <f>VALUE('UrbanMart Sales Jan 2025(Orig)'!M26)</f>
        <v>1</v>
      </c>
      <c r="J25" t="str">
        <f>PROPER(TRIM('UrbanMart Sales Jan 2025(Orig)'!N26))</f>
        <v>In-Store</v>
      </c>
      <c r="M25" s="20"/>
      <c r="N25" s="21"/>
      <c r="O25" s="22"/>
    </row>
    <row r="26" spans="1:17" x14ac:dyDescent="0.35">
      <c r="A26" t="s">
        <v>134</v>
      </c>
      <c r="B26" s="1" t="s">
        <v>187</v>
      </c>
      <c r="C26" s="1">
        <f>DATEVALUE(Table3[[#This Row],[Order_Date]])</f>
        <v>45682</v>
      </c>
      <c r="D26" t="s">
        <v>39</v>
      </c>
      <c r="E26" t="s">
        <v>202</v>
      </c>
      <c r="F26" t="str">
        <f>PROPER(TRIM('UrbanMart Sales Jan 2025(Orig)'!H27))</f>
        <v>Electronics</v>
      </c>
      <c r="G26" t="str">
        <f>PROPER(TRIM('UrbanMart Sales Jan 2025(Orig)'!J27))</f>
        <v>Smartphone</v>
      </c>
      <c r="H26">
        <f>VALUE(SUBSTITUTE('UrbanMart Sales Jan 2025(Orig)'!K27,"Ksh",""))</f>
        <v>115000</v>
      </c>
      <c r="I26">
        <f>VALUE('UrbanMart Sales Jan 2025(Orig)'!M27)</f>
        <v>1</v>
      </c>
      <c r="J26" t="str">
        <f>PROPER(TRIM('UrbanMart Sales Jan 2025(Orig)'!N27))</f>
        <v>Online</v>
      </c>
      <c r="M26" s="20"/>
      <c r="N26" s="21"/>
      <c r="O26" s="22"/>
    </row>
    <row r="27" spans="1:17" x14ac:dyDescent="0.35">
      <c r="A27" t="s">
        <v>138</v>
      </c>
      <c r="B27" s="1" t="s">
        <v>188</v>
      </c>
      <c r="C27" s="1">
        <f>DATEVALUE(Table3[[#This Row],[Order_Date]])</f>
        <v>45683</v>
      </c>
      <c r="D27" t="s">
        <v>11</v>
      </c>
      <c r="E27" t="s">
        <v>140</v>
      </c>
      <c r="F27" t="str">
        <f>PROPER(TRIM('UrbanMart Sales Jan 2025(Orig)'!H28))</f>
        <v>Clothing</v>
      </c>
      <c r="G27" t="str">
        <f>PROPER(TRIM('UrbanMart Sales Jan 2025(Orig)'!J28))</f>
        <v>Jeans</v>
      </c>
      <c r="H27">
        <f>VALUE(SUBSTITUTE('UrbanMart Sales Jan 2025(Orig)'!K28,"Ksh",""))</f>
        <v>5600</v>
      </c>
      <c r="I27">
        <f>VALUE('UrbanMart Sales Jan 2025(Orig)'!M28)</f>
        <v>2</v>
      </c>
      <c r="J27" t="str">
        <f>PROPER(TRIM('UrbanMart Sales Jan 2025(Orig)'!N28))</f>
        <v>In-Store</v>
      </c>
      <c r="M27" s="20"/>
      <c r="N27" s="21"/>
      <c r="O27" s="22"/>
    </row>
    <row r="28" spans="1:17" x14ac:dyDescent="0.35">
      <c r="A28" t="s">
        <v>142</v>
      </c>
      <c r="B28" s="1" t="s">
        <v>189</v>
      </c>
      <c r="C28" s="1">
        <f>DATEVALUE(Table3[[#This Row],[Order_Date]])</f>
        <v>45684</v>
      </c>
      <c r="D28" t="s">
        <v>26</v>
      </c>
      <c r="E28" t="s">
        <v>144</v>
      </c>
      <c r="F28" t="str">
        <f>PROPER(TRIM('UrbanMart Sales Jan 2025(Orig)'!H29))</f>
        <v>Clothing</v>
      </c>
      <c r="G28" t="str">
        <f>PROPER(TRIM('UrbanMart Sales Jan 2025(Orig)'!J29))</f>
        <v>Dress</v>
      </c>
      <c r="H28">
        <f>VALUE(SUBSTITUTE('UrbanMart Sales Jan 2025(Orig)'!K29,"Ksh",""))</f>
        <v>6500</v>
      </c>
      <c r="I28">
        <f>VALUE('UrbanMart Sales Jan 2025(Orig)'!M29)</f>
        <v>1</v>
      </c>
      <c r="J28" t="str">
        <f>PROPER(TRIM('UrbanMart Sales Jan 2025(Orig)'!N29))</f>
        <v>Online</v>
      </c>
      <c r="M28" s="20"/>
      <c r="N28" s="21"/>
      <c r="O28" s="22"/>
    </row>
    <row r="29" spans="1:17" x14ac:dyDescent="0.35">
      <c r="A29" t="s">
        <v>146</v>
      </c>
      <c r="B29" s="1" t="s">
        <v>152</v>
      </c>
      <c r="C29" s="1">
        <f>DATEVALUE(Table3[[#This Row],[Order_Date]])</f>
        <v>45685</v>
      </c>
      <c r="D29" t="s">
        <v>33</v>
      </c>
      <c r="E29" t="s">
        <v>148</v>
      </c>
      <c r="F29" t="str">
        <f>PROPER(TRIM('UrbanMart Sales Jan 2025(Orig)'!H30))</f>
        <v>Home</v>
      </c>
      <c r="G29" t="str">
        <f>PROPER(TRIM('UrbanMart Sales Jan 2025(Orig)'!J30))</f>
        <v>Vacuum Cleaner</v>
      </c>
      <c r="H29">
        <f>VALUE(SUBSTITUTE('UrbanMart Sales Jan 2025(Orig)'!K30,"Ksh",""))</f>
        <v>21000</v>
      </c>
      <c r="I29">
        <f>VALUE('UrbanMart Sales Jan 2025(Orig)'!M30)</f>
        <v>1</v>
      </c>
      <c r="J29" t="str">
        <f>PROPER(TRIM('UrbanMart Sales Jan 2025(Orig)'!N30))</f>
        <v>Online</v>
      </c>
      <c r="M29" s="20"/>
      <c r="N29" s="21"/>
      <c r="O29" s="22"/>
    </row>
    <row r="30" spans="1:17" x14ac:dyDescent="0.35">
      <c r="A30" t="s">
        <v>151</v>
      </c>
      <c r="B30" s="1" t="s">
        <v>152</v>
      </c>
      <c r="C30" s="1">
        <f>DATEVALUE(Table3[[#This Row],[Order_Date]])</f>
        <v>45685</v>
      </c>
      <c r="D30" t="s">
        <v>39</v>
      </c>
      <c r="E30" t="s">
        <v>203</v>
      </c>
      <c r="F30" t="str">
        <f>PROPER(TRIM('UrbanMart Sales Jan 2025(Orig)'!H31))</f>
        <v>Electronics</v>
      </c>
      <c r="G30" t="str">
        <f>PROPER(TRIM('UrbanMart Sales Jan 2025(Orig)'!J31))</f>
        <v>Headphones</v>
      </c>
      <c r="H30">
        <f>VALUE(SUBSTITUTE('UrbanMart Sales Jan 2025(Orig)'!K31,"Ksh",""))</f>
        <v>-5000</v>
      </c>
      <c r="I30">
        <f>VALUE('UrbanMart Sales Jan 2025(Orig)'!M31)</f>
        <v>1</v>
      </c>
      <c r="J30" t="str">
        <f>PROPER(TRIM('UrbanMart Sales Jan 2025(Orig)'!N31))</f>
        <v>In-Store</v>
      </c>
      <c r="M30" s="20"/>
      <c r="N30" s="21"/>
      <c r="O30" s="22"/>
    </row>
    <row r="31" spans="1:17" x14ac:dyDescent="0.35">
      <c r="A31" t="s">
        <v>155</v>
      </c>
      <c r="B31" s="1" t="s">
        <v>190</v>
      </c>
      <c r="C31" s="1">
        <f>DATEVALUE(Table3[[#This Row],[Order_Date]])</f>
        <v>45686</v>
      </c>
      <c r="D31" t="s">
        <v>11</v>
      </c>
      <c r="E31" t="s">
        <v>157</v>
      </c>
      <c r="F31" t="str">
        <f>PROPER(TRIM('UrbanMart Sales Jan 2025(Orig)'!H32))</f>
        <v>Electronics</v>
      </c>
      <c r="G31" t="str">
        <f>PROPER(TRIM('UrbanMart Sales Jan 2025(Orig)'!J32))</f>
        <v>Tablet</v>
      </c>
      <c r="H31">
        <f>VALUE(SUBSTITUTE('UrbanMart Sales Jan 2025(Orig)'!K32,"Ksh",""))</f>
        <v>40000</v>
      </c>
      <c r="I31">
        <f>VALUE('UrbanMart Sales Jan 2025(Orig)'!M32)</f>
        <v>1</v>
      </c>
      <c r="J31" t="str">
        <f>PROPER(TRIM('UrbanMart Sales Jan 2025(Orig)'!N32))</f>
        <v>Online</v>
      </c>
      <c r="M31" s="20"/>
      <c r="N31" s="21"/>
      <c r="O31" s="22"/>
    </row>
    <row r="32" spans="1:17" x14ac:dyDescent="0.35">
      <c r="A32" t="s">
        <v>159</v>
      </c>
      <c r="B32" s="1" t="s">
        <v>191</v>
      </c>
      <c r="C32" s="1">
        <f>DATEVALUE(Table3[[#This Row],[Order_Date]])</f>
        <v>45687</v>
      </c>
      <c r="D32" t="s">
        <v>26</v>
      </c>
      <c r="E32" t="s">
        <v>161</v>
      </c>
      <c r="F32" t="str">
        <f>PROPER(TRIM('UrbanMart Sales Jan 2025(Orig)'!H33))</f>
        <v>Home</v>
      </c>
      <c r="G32" t="str">
        <f>PROPER(TRIM('UrbanMart Sales Jan 2025(Orig)'!J33))</f>
        <v>Toaster</v>
      </c>
      <c r="H32">
        <f>VALUE(SUBSTITUTE('UrbanMart Sales Jan 2025(Orig)'!K33,"Ksh",""))</f>
        <v>3000</v>
      </c>
      <c r="I32">
        <f>VALUE('UrbanMart Sales Jan 2025(Orig)'!M33)</f>
        <v>1</v>
      </c>
      <c r="J32" t="str">
        <f>PROPER(TRIM('UrbanMart Sales Jan 2025(Orig)'!N33))</f>
        <v>In-Store</v>
      </c>
      <c r="M32" s="20"/>
      <c r="N32" s="21"/>
      <c r="O32" s="22"/>
    </row>
    <row r="33" spans="1:15" x14ac:dyDescent="0.35">
      <c r="A33" t="s">
        <v>162</v>
      </c>
      <c r="B33" s="1" t="s">
        <v>191</v>
      </c>
      <c r="C33" s="1">
        <f>DATEVALUE(Table3[[#This Row],[Order_Date]])</f>
        <v>45687</v>
      </c>
      <c r="D33" t="s">
        <v>33</v>
      </c>
      <c r="E33" t="s">
        <v>164</v>
      </c>
      <c r="F33" t="str">
        <f>PROPER(TRIM('UrbanMart Sales Jan 2025(Orig)'!H34))</f>
        <v>Clothing</v>
      </c>
      <c r="G33" t="str">
        <f>PROPER(TRIM('UrbanMart Sales Jan 2025(Orig)'!J34))</f>
        <v>T-Shirt</v>
      </c>
      <c r="H33">
        <f>VALUE(SUBSTITUTE('UrbanMart Sales Jan 2025(Orig)'!K34,"Ksh",""))</f>
        <v>2500</v>
      </c>
      <c r="I33">
        <f>VALUE('UrbanMart Sales Jan 2025(Orig)'!M34)</f>
        <v>4</v>
      </c>
      <c r="J33" t="str">
        <f>PROPER(TRIM('UrbanMart Sales Jan 2025(Orig)'!N34))</f>
        <v>Online</v>
      </c>
      <c r="M33" s="20"/>
      <c r="N33" s="21"/>
      <c r="O33" s="22"/>
    </row>
    <row r="34" spans="1:15" x14ac:dyDescent="0.35">
      <c r="A34" t="s">
        <v>165</v>
      </c>
      <c r="B34" s="1" t="s">
        <v>192</v>
      </c>
      <c r="C34" s="1">
        <f>DATEVALUE(Table3[[#This Row],[Order_Date]])</f>
        <v>45688</v>
      </c>
      <c r="D34" t="s">
        <v>39</v>
      </c>
      <c r="E34" t="s">
        <v>167</v>
      </c>
      <c r="F34" t="str">
        <f>PROPER(TRIM('UrbanMart Sales Jan 2025(Orig)'!H35))</f>
        <v>Electronics</v>
      </c>
      <c r="G34" t="str">
        <f>PROPER(TRIM('UrbanMart Sales Jan 2025(Orig)'!J35))</f>
        <v>Laptop</v>
      </c>
      <c r="H34">
        <f>VALUE(SUBSTITUTE('UrbanMart Sales Jan 2025(Orig)'!K35,"Ksh",""))</f>
        <v>98000</v>
      </c>
      <c r="I34">
        <f>VALUE('UrbanMart Sales Jan 2025(Orig)'!M35)</f>
        <v>1</v>
      </c>
      <c r="J34" t="str">
        <f>PROPER(TRIM('UrbanMart Sales Jan 2025(Orig)'!N35))</f>
        <v>Online</v>
      </c>
      <c r="M34" s="20"/>
      <c r="N34" s="21"/>
      <c r="O34" s="22"/>
    </row>
    <row r="35" spans="1:15" x14ac:dyDescent="0.35">
      <c r="A35" t="s">
        <v>169</v>
      </c>
      <c r="B35" s="1" t="s">
        <v>193</v>
      </c>
      <c r="C35" s="1">
        <f>DATEVALUE(Table3[[#This Row],[Order_Date]])</f>
        <v>45689</v>
      </c>
      <c r="D35" t="s">
        <v>11</v>
      </c>
      <c r="E35" t="s">
        <v>204</v>
      </c>
      <c r="F35" t="str">
        <f>PROPER(TRIM('UrbanMart Sales Jan 2025(Orig)'!H36))</f>
        <v>Home</v>
      </c>
      <c r="G35" t="str">
        <f>PROPER(TRIM('UrbanMart Sales Jan 2025(Orig)'!J36))</f>
        <v>Iron Box</v>
      </c>
      <c r="H35">
        <f>VALUE(SUBSTITUTE('UrbanMart Sales Jan 2025(Orig)'!K36,"Ksh",""))</f>
        <v>3800</v>
      </c>
      <c r="I35">
        <f>VALUE('UrbanMart Sales Jan 2025(Orig)'!M36)</f>
        <v>1</v>
      </c>
      <c r="J35" t="str">
        <f>PROPER(TRIM('UrbanMart Sales Jan 2025(Orig)'!N36))</f>
        <v>In-Store</v>
      </c>
      <c r="M35" s="20"/>
      <c r="N35" s="21"/>
      <c r="O35" s="22"/>
    </row>
    <row r="36" spans="1:15" x14ac:dyDescent="0.35">
      <c r="M36" s="20"/>
      <c r="N36" s="21"/>
      <c r="O36" s="22"/>
    </row>
    <row r="37" spans="1:15" x14ac:dyDescent="0.35">
      <c r="M37" s="20"/>
      <c r="N37" s="21"/>
      <c r="O37" s="22"/>
    </row>
    <row r="38" spans="1:15" x14ac:dyDescent="0.35">
      <c r="M38" s="20"/>
      <c r="N38" s="21"/>
      <c r="O38" s="22"/>
    </row>
    <row r="39" spans="1:15" x14ac:dyDescent="0.35">
      <c r="M39" s="20"/>
      <c r="N39" s="21"/>
      <c r="O39" s="22"/>
    </row>
    <row r="40" spans="1:15" x14ac:dyDescent="0.35">
      <c r="M40" s="23"/>
      <c r="N40" s="24"/>
      <c r="O40" s="25"/>
    </row>
  </sheetData>
  <mergeCells count="2">
    <mergeCell ref="M13:N13"/>
    <mergeCell ref="M1:U1"/>
  </mergeCells>
  <pageMargins left="0.7" right="0.7" top="0.75" bottom="0.75" header="0.3" footer="0.3"/>
  <pageSetup orientation="portrait" horizontalDpi="0" verticalDpi="0" r:id="rId6"/>
  <drawing r:id="rId7"/>
  <tableParts count="1">
    <tablePart r:id="rId8"/>
  </tableParts>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topLeftCell="A2" workbookViewId="0">
      <selection activeCell="B2" sqref="B2:B35"/>
    </sheetView>
  </sheetViews>
  <sheetFormatPr defaultRowHeight="14.5" x14ac:dyDescent="0.35"/>
  <cols>
    <col min="1" max="1" width="10.08984375" customWidth="1"/>
    <col min="2" max="2" width="12.90625" customWidth="1"/>
    <col min="3" max="3" width="9.1796875" style="5" bestFit="1" customWidth="1"/>
    <col min="4" max="4" width="19.08984375" customWidth="1"/>
    <col min="5" max="5" width="10.90625" customWidth="1"/>
    <col min="6" max="6" width="15.36328125" bestFit="1" customWidth="1"/>
    <col min="7" max="7" width="16" style="14" customWidth="1"/>
    <col min="8" max="8" width="10.7265625" style="8" customWidth="1"/>
    <col min="9" max="9" width="10.26953125" style="5" customWidth="1"/>
  </cols>
  <sheetData>
    <row r="1" spans="1:9" s="2" customFormat="1" ht="15.5" x14ac:dyDescent="0.35">
      <c r="A1" s="9" t="s">
        <v>0</v>
      </c>
      <c r="B1" s="9" t="s">
        <v>173</v>
      </c>
      <c r="C1" s="10" t="s">
        <v>2</v>
      </c>
      <c r="D1" s="9" t="s">
        <v>195</v>
      </c>
      <c r="E1" s="9" t="s">
        <v>4</v>
      </c>
      <c r="F1" s="9" t="s">
        <v>5</v>
      </c>
      <c r="G1" s="12" t="s">
        <v>194</v>
      </c>
      <c r="H1" s="11" t="s">
        <v>7</v>
      </c>
      <c r="I1" s="10" t="s">
        <v>8</v>
      </c>
    </row>
    <row r="2" spans="1:9" x14ac:dyDescent="0.35">
      <c r="A2" s="3" t="s">
        <v>9</v>
      </c>
      <c r="B2" s="16" t="s">
        <v>174</v>
      </c>
      <c r="C2" s="4" t="s">
        <v>11</v>
      </c>
      <c r="D2" s="3" t="s">
        <v>196</v>
      </c>
      <c r="E2" s="3" t="s">
        <v>13</v>
      </c>
      <c r="F2" s="3" t="s">
        <v>14</v>
      </c>
      <c r="G2" s="13">
        <v>120000</v>
      </c>
      <c r="H2" s="7">
        <v>2</v>
      </c>
      <c r="I2" s="4" t="s">
        <v>16</v>
      </c>
    </row>
    <row r="3" spans="1:9" x14ac:dyDescent="0.35">
      <c r="A3" s="3" t="s">
        <v>17</v>
      </c>
      <c r="B3" s="16" t="s">
        <v>174</v>
      </c>
      <c r="C3" s="4" t="s">
        <v>11</v>
      </c>
      <c r="D3" s="3" t="s">
        <v>20</v>
      </c>
      <c r="E3" s="3" t="s">
        <v>13</v>
      </c>
      <c r="F3" s="3" t="s">
        <v>21</v>
      </c>
      <c r="G3" s="13">
        <v>85000</v>
      </c>
      <c r="H3" s="7">
        <v>1</v>
      </c>
      <c r="I3" s="4" t="s">
        <v>23</v>
      </c>
    </row>
    <row r="4" spans="1:9" x14ac:dyDescent="0.35">
      <c r="A4" s="3" t="s">
        <v>24</v>
      </c>
      <c r="B4" s="16" t="s">
        <v>175</v>
      </c>
      <c r="C4" s="4" t="s">
        <v>26</v>
      </c>
      <c r="D4" s="3" t="s">
        <v>27</v>
      </c>
      <c r="E4" s="3" t="s">
        <v>28</v>
      </c>
      <c r="F4" s="3" t="s">
        <v>29</v>
      </c>
      <c r="G4" s="13">
        <v>45000</v>
      </c>
      <c r="H4" s="7">
        <v>1</v>
      </c>
      <c r="I4" s="4" t="s">
        <v>23</v>
      </c>
    </row>
    <row r="5" spans="1:9" x14ac:dyDescent="0.35">
      <c r="A5" s="3" t="s">
        <v>31</v>
      </c>
      <c r="B5" s="16" t="s">
        <v>38</v>
      </c>
      <c r="C5" s="4" t="s">
        <v>33</v>
      </c>
      <c r="D5" s="3" t="s">
        <v>197</v>
      </c>
      <c r="E5" s="3" t="s">
        <v>28</v>
      </c>
      <c r="F5" s="3" t="s">
        <v>35</v>
      </c>
      <c r="G5" s="13">
        <v>15000</v>
      </c>
      <c r="H5" s="7">
        <v>2</v>
      </c>
      <c r="I5" s="4" t="s">
        <v>16</v>
      </c>
    </row>
    <row r="6" spans="1:9" x14ac:dyDescent="0.35">
      <c r="A6" s="3" t="s">
        <v>37</v>
      </c>
      <c r="B6" s="16" t="s">
        <v>38</v>
      </c>
      <c r="C6" s="4" t="s">
        <v>39</v>
      </c>
      <c r="D6" s="3" t="s">
        <v>40</v>
      </c>
      <c r="E6" s="3" t="s">
        <v>13</v>
      </c>
      <c r="F6" s="3" t="s">
        <v>41</v>
      </c>
      <c r="G6" s="13">
        <v>8000</v>
      </c>
      <c r="H6" s="7">
        <v>3</v>
      </c>
      <c r="I6" s="4" t="s">
        <v>16</v>
      </c>
    </row>
    <row r="7" spans="1:9" x14ac:dyDescent="0.35">
      <c r="A7" s="3" t="s">
        <v>43</v>
      </c>
      <c r="B7" s="16" t="s">
        <v>176</v>
      </c>
      <c r="C7" s="4" t="s">
        <v>11</v>
      </c>
      <c r="D7" s="3" t="s">
        <v>45</v>
      </c>
      <c r="E7" s="3" t="s">
        <v>46</v>
      </c>
      <c r="F7" s="3" t="s">
        <v>47</v>
      </c>
      <c r="G7" s="13">
        <v>2500</v>
      </c>
      <c r="H7" s="7">
        <v>5</v>
      </c>
      <c r="I7" s="4" t="s">
        <v>23</v>
      </c>
    </row>
    <row r="8" spans="1:9" x14ac:dyDescent="0.35">
      <c r="A8" s="3" t="s">
        <v>49</v>
      </c>
      <c r="B8" s="16" t="s">
        <v>177</v>
      </c>
      <c r="C8" s="4" t="s">
        <v>11</v>
      </c>
      <c r="D8" s="3" t="s">
        <v>52</v>
      </c>
      <c r="E8" s="3" t="s">
        <v>46</v>
      </c>
      <c r="F8" s="3" t="s">
        <v>53</v>
      </c>
      <c r="G8" s="13">
        <v>5500</v>
      </c>
      <c r="H8" s="7">
        <v>2</v>
      </c>
      <c r="I8" s="4" t="s">
        <v>16</v>
      </c>
    </row>
    <row r="9" spans="1:9" x14ac:dyDescent="0.35">
      <c r="A9" s="3" t="s">
        <v>55</v>
      </c>
      <c r="B9" s="16" t="s">
        <v>177</v>
      </c>
      <c r="C9" s="4" t="s">
        <v>26</v>
      </c>
      <c r="D9" s="3" t="s">
        <v>57</v>
      </c>
      <c r="E9" s="3" t="s">
        <v>46</v>
      </c>
      <c r="F9" s="3" t="s">
        <v>58</v>
      </c>
      <c r="G9" s="13">
        <v>6500</v>
      </c>
      <c r="H9" s="7">
        <v>1</v>
      </c>
      <c r="I9" s="4" t="s">
        <v>23</v>
      </c>
    </row>
    <row r="10" spans="1:9" x14ac:dyDescent="0.35">
      <c r="A10" s="3" t="s">
        <v>60</v>
      </c>
      <c r="B10" s="16" t="s">
        <v>178</v>
      </c>
      <c r="C10" s="4" t="s">
        <v>33</v>
      </c>
      <c r="D10" s="3" t="s">
        <v>198</v>
      </c>
      <c r="E10" s="3" t="s">
        <v>13</v>
      </c>
      <c r="F10" s="3" t="s">
        <v>14</v>
      </c>
      <c r="G10" s="13">
        <v>118000</v>
      </c>
      <c r="H10" s="7">
        <v>1</v>
      </c>
      <c r="I10" s="4" t="s">
        <v>16</v>
      </c>
    </row>
    <row r="11" spans="1:9" x14ac:dyDescent="0.35">
      <c r="A11" s="3" t="s">
        <v>64</v>
      </c>
      <c r="B11" s="16" t="s">
        <v>179</v>
      </c>
      <c r="C11" s="4" t="s">
        <v>39</v>
      </c>
      <c r="D11" s="3" t="s">
        <v>66</v>
      </c>
      <c r="E11" s="3" t="s">
        <v>28</v>
      </c>
      <c r="F11" s="3" t="s">
        <v>67</v>
      </c>
      <c r="G11" s="13">
        <v>3500</v>
      </c>
      <c r="H11" s="7">
        <v>2</v>
      </c>
      <c r="I11" s="4" t="s">
        <v>23</v>
      </c>
    </row>
    <row r="12" spans="1:9" x14ac:dyDescent="0.35">
      <c r="A12" s="3" t="s">
        <v>73</v>
      </c>
      <c r="B12" s="16" t="s">
        <v>180</v>
      </c>
      <c r="C12" s="4" t="s">
        <v>26</v>
      </c>
      <c r="D12" s="3" t="s">
        <v>75</v>
      </c>
      <c r="E12" s="3" t="s">
        <v>28</v>
      </c>
      <c r="F12" s="3" t="s">
        <v>76</v>
      </c>
      <c r="G12" s="13">
        <v>2800</v>
      </c>
      <c r="H12" s="7">
        <v>1</v>
      </c>
      <c r="I12" s="4" t="s">
        <v>16</v>
      </c>
    </row>
    <row r="13" spans="1:9" x14ac:dyDescent="0.35">
      <c r="A13" s="3" t="s">
        <v>78</v>
      </c>
      <c r="B13" s="16" t="s">
        <v>181</v>
      </c>
      <c r="C13" s="4" t="s">
        <v>33</v>
      </c>
      <c r="D13" s="3" t="s">
        <v>80</v>
      </c>
      <c r="E13" s="3" t="s">
        <v>46</v>
      </c>
      <c r="F13" s="3" t="s">
        <v>81</v>
      </c>
      <c r="G13" s="13">
        <v>3000</v>
      </c>
      <c r="H13" s="7">
        <v>3</v>
      </c>
      <c r="I13" s="4" t="s">
        <v>23</v>
      </c>
    </row>
    <row r="14" spans="1:9" x14ac:dyDescent="0.35">
      <c r="A14" s="3" t="s">
        <v>83</v>
      </c>
      <c r="B14" s="16" t="s">
        <v>88</v>
      </c>
      <c r="C14" s="4" t="s">
        <v>39</v>
      </c>
      <c r="D14" s="3" t="s">
        <v>199</v>
      </c>
      <c r="E14" s="3" t="s">
        <v>13</v>
      </c>
      <c r="F14" s="3" t="s">
        <v>21</v>
      </c>
      <c r="G14" s="13">
        <v>95000</v>
      </c>
      <c r="H14" s="7">
        <v>1</v>
      </c>
      <c r="I14" s="4" t="s">
        <v>16</v>
      </c>
    </row>
    <row r="15" spans="1:9" x14ac:dyDescent="0.35">
      <c r="A15" s="3" t="s">
        <v>87</v>
      </c>
      <c r="B15" s="16" t="s">
        <v>88</v>
      </c>
      <c r="C15" s="4" t="s">
        <v>11</v>
      </c>
      <c r="D15" s="3" t="s">
        <v>89</v>
      </c>
      <c r="E15" s="3" t="s">
        <v>28</v>
      </c>
      <c r="F15" s="3" t="s">
        <v>149</v>
      </c>
      <c r="G15" s="13">
        <v>22000</v>
      </c>
      <c r="H15" s="7">
        <v>1</v>
      </c>
      <c r="I15" s="4" t="s">
        <v>23</v>
      </c>
    </row>
    <row r="16" spans="1:9" x14ac:dyDescent="0.35">
      <c r="A16" s="3" t="s">
        <v>92</v>
      </c>
      <c r="B16" s="16" t="s">
        <v>182</v>
      </c>
      <c r="C16" s="4" t="s">
        <v>26</v>
      </c>
      <c r="D16" s="3" t="s">
        <v>94</v>
      </c>
      <c r="E16" s="3" t="s">
        <v>13</v>
      </c>
      <c r="F16" s="3" t="s">
        <v>14</v>
      </c>
      <c r="G16" s="13">
        <v>110000</v>
      </c>
      <c r="H16" s="7">
        <v>1</v>
      </c>
      <c r="I16" s="4" t="s">
        <v>16</v>
      </c>
    </row>
    <row r="17" spans="1:9" x14ac:dyDescent="0.35">
      <c r="A17" s="3" t="s">
        <v>96</v>
      </c>
      <c r="B17" s="16" t="s">
        <v>182</v>
      </c>
      <c r="C17" s="4" t="s">
        <v>33</v>
      </c>
      <c r="D17" s="3" t="s">
        <v>97</v>
      </c>
      <c r="E17" s="3" t="s">
        <v>46</v>
      </c>
      <c r="F17" s="3" t="s">
        <v>98</v>
      </c>
      <c r="G17" s="13">
        <v>2700</v>
      </c>
      <c r="H17" s="7">
        <v>2</v>
      </c>
      <c r="I17" s="4" t="s">
        <v>23</v>
      </c>
    </row>
    <row r="18" spans="1:9" x14ac:dyDescent="0.35">
      <c r="A18" s="3" t="s">
        <v>100</v>
      </c>
      <c r="B18" s="16" t="s">
        <v>182</v>
      </c>
      <c r="C18" s="4" t="s">
        <v>39</v>
      </c>
      <c r="D18" s="3" t="s">
        <v>102</v>
      </c>
      <c r="E18" s="3" t="s">
        <v>28</v>
      </c>
      <c r="F18" s="3" t="s">
        <v>103</v>
      </c>
      <c r="G18" s="13">
        <v>4000</v>
      </c>
      <c r="H18" s="7">
        <v>1</v>
      </c>
      <c r="I18" s="4" t="s">
        <v>16</v>
      </c>
    </row>
    <row r="19" spans="1:9" x14ac:dyDescent="0.35">
      <c r="A19" s="3" t="s">
        <v>105</v>
      </c>
      <c r="B19" s="16" t="s">
        <v>183</v>
      </c>
      <c r="C19" s="4" t="s">
        <v>11</v>
      </c>
      <c r="D19" s="3" t="s">
        <v>200</v>
      </c>
      <c r="E19" s="3" t="s">
        <v>13</v>
      </c>
      <c r="F19" s="3" t="s">
        <v>41</v>
      </c>
      <c r="G19" s="13">
        <v>7500</v>
      </c>
      <c r="H19" s="7">
        <v>2</v>
      </c>
      <c r="I19" s="4" t="s">
        <v>16</v>
      </c>
    </row>
    <row r="20" spans="1:9" x14ac:dyDescent="0.35">
      <c r="A20" s="3" t="s">
        <v>109</v>
      </c>
      <c r="B20" s="16" t="s">
        <v>184</v>
      </c>
      <c r="C20" s="4" t="s">
        <v>26</v>
      </c>
      <c r="D20" s="3" t="s">
        <v>111</v>
      </c>
      <c r="E20" s="3" t="s">
        <v>28</v>
      </c>
      <c r="F20" s="3" t="s">
        <v>29</v>
      </c>
      <c r="G20" s="13">
        <v>47000</v>
      </c>
      <c r="H20" s="7">
        <v>1</v>
      </c>
      <c r="I20" s="4" t="s">
        <v>23</v>
      </c>
    </row>
    <row r="21" spans="1:9" x14ac:dyDescent="0.35">
      <c r="A21" s="3" t="s">
        <v>113</v>
      </c>
      <c r="B21" s="16" t="s">
        <v>118</v>
      </c>
      <c r="C21" s="4" t="s">
        <v>33</v>
      </c>
      <c r="D21" s="3" t="s">
        <v>115</v>
      </c>
      <c r="E21" s="3" t="s">
        <v>13</v>
      </c>
      <c r="F21" s="3" t="s">
        <v>72</v>
      </c>
      <c r="G21" s="13">
        <v>39000</v>
      </c>
      <c r="H21" s="7">
        <v>1</v>
      </c>
      <c r="I21" s="4" t="s">
        <v>16</v>
      </c>
    </row>
    <row r="22" spans="1:9" x14ac:dyDescent="0.35">
      <c r="A22" s="3" t="s">
        <v>117</v>
      </c>
      <c r="B22" s="16" t="s">
        <v>118</v>
      </c>
      <c r="C22" s="4" t="s">
        <v>39</v>
      </c>
      <c r="D22" s="3" t="s">
        <v>119</v>
      </c>
      <c r="E22" s="3" t="s">
        <v>46</v>
      </c>
      <c r="F22" s="3" t="s">
        <v>120</v>
      </c>
      <c r="G22" s="13">
        <v>6800</v>
      </c>
      <c r="H22" s="7">
        <v>1</v>
      </c>
      <c r="I22" s="4" t="s">
        <v>23</v>
      </c>
    </row>
    <row r="23" spans="1:9" x14ac:dyDescent="0.35">
      <c r="A23" s="3" t="s">
        <v>122</v>
      </c>
      <c r="B23" s="16" t="s">
        <v>185</v>
      </c>
      <c r="C23" s="4" t="s">
        <v>11</v>
      </c>
      <c r="D23" s="3" t="s">
        <v>201</v>
      </c>
      <c r="E23" s="3" t="s">
        <v>28</v>
      </c>
      <c r="F23" s="3" t="s">
        <v>67</v>
      </c>
      <c r="G23" s="13">
        <v>3200</v>
      </c>
      <c r="H23" s="7">
        <v>2</v>
      </c>
      <c r="I23" s="4" t="s">
        <v>16</v>
      </c>
    </row>
    <row r="24" spans="1:9" x14ac:dyDescent="0.35">
      <c r="A24" s="3" t="s">
        <v>126</v>
      </c>
      <c r="B24" s="16" t="s">
        <v>186</v>
      </c>
      <c r="C24" s="4" t="s">
        <v>26</v>
      </c>
      <c r="D24" s="3" t="s">
        <v>128</v>
      </c>
      <c r="E24" s="3" t="s">
        <v>13</v>
      </c>
      <c r="F24" s="3" t="s">
        <v>21</v>
      </c>
      <c r="G24" s="13">
        <v>102000</v>
      </c>
      <c r="H24" s="7">
        <v>1</v>
      </c>
      <c r="I24" s="4" t="s">
        <v>16</v>
      </c>
    </row>
    <row r="25" spans="1:9" x14ac:dyDescent="0.35">
      <c r="A25" s="3" t="s">
        <v>130</v>
      </c>
      <c r="B25" s="16" t="s">
        <v>186</v>
      </c>
      <c r="C25" s="4" t="s">
        <v>33</v>
      </c>
      <c r="D25" s="3" t="s">
        <v>132</v>
      </c>
      <c r="E25" s="3" t="s">
        <v>28</v>
      </c>
      <c r="F25" s="3" t="s">
        <v>35</v>
      </c>
      <c r="G25" s="13">
        <v>16000</v>
      </c>
      <c r="H25" s="7">
        <v>1</v>
      </c>
      <c r="I25" s="4" t="s">
        <v>23</v>
      </c>
    </row>
    <row r="26" spans="1:9" x14ac:dyDescent="0.35">
      <c r="A26" s="3" t="s">
        <v>134</v>
      </c>
      <c r="B26" s="16" t="s">
        <v>187</v>
      </c>
      <c r="C26" s="4" t="s">
        <v>39</v>
      </c>
      <c r="D26" s="3" t="s">
        <v>202</v>
      </c>
      <c r="E26" s="3" t="s">
        <v>13</v>
      </c>
      <c r="F26" s="3" t="s">
        <v>14</v>
      </c>
      <c r="G26" s="13">
        <v>115000</v>
      </c>
      <c r="H26" s="7">
        <v>1</v>
      </c>
      <c r="I26" s="4" t="s">
        <v>16</v>
      </c>
    </row>
    <row r="27" spans="1:9" x14ac:dyDescent="0.35">
      <c r="A27" s="3" t="s">
        <v>138</v>
      </c>
      <c r="B27" s="16" t="s">
        <v>188</v>
      </c>
      <c r="C27" s="4" t="s">
        <v>11</v>
      </c>
      <c r="D27" s="3" t="s">
        <v>140</v>
      </c>
      <c r="E27" s="3" t="s">
        <v>46</v>
      </c>
      <c r="F27" s="3" t="s">
        <v>53</v>
      </c>
      <c r="G27" s="13">
        <v>5600</v>
      </c>
      <c r="H27" s="7">
        <v>2</v>
      </c>
      <c r="I27" s="4" t="s">
        <v>23</v>
      </c>
    </row>
    <row r="28" spans="1:9" x14ac:dyDescent="0.35">
      <c r="A28" s="3" t="s">
        <v>142</v>
      </c>
      <c r="B28" s="16" t="s">
        <v>189</v>
      </c>
      <c r="C28" s="4" t="s">
        <v>26</v>
      </c>
      <c r="D28" s="3" t="s">
        <v>144</v>
      </c>
      <c r="E28" s="3" t="s">
        <v>46</v>
      </c>
      <c r="F28" s="3" t="s">
        <v>58</v>
      </c>
      <c r="G28" s="13">
        <v>6500</v>
      </c>
      <c r="H28" s="7">
        <v>1</v>
      </c>
      <c r="I28" s="4" t="s">
        <v>16</v>
      </c>
    </row>
    <row r="29" spans="1:9" x14ac:dyDescent="0.35">
      <c r="A29" s="3" t="s">
        <v>146</v>
      </c>
      <c r="B29" s="16" t="s">
        <v>152</v>
      </c>
      <c r="C29" s="4" t="s">
        <v>33</v>
      </c>
      <c r="D29" s="3" t="s">
        <v>148</v>
      </c>
      <c r="E29" s="3" t="s">
        <v>28</v>
      </c>
      <c r="F29" s="3" t="s">
        <v>149</v>
      </c>
      <c r="G29" s="13">
        <v>21000</v>
      </c>
      <c r="H29" s="7">
        <v>1</v>
      </c>
      <c r="I29" s="4" t="s">
        <v>16</v>
      </c>
    </row>
    <row r="30" spans="1:9" x14ac:dyDescent="0.35">
      <c r="A30" s="3" t="s">
        <v>151</v>
      </c>
      <c r="B30" s="16" t="s">
        <v>152</v>
      </c>
      <c r="C30" s="4" t="s">
        <v>39</v>
      </c>
      <c r="D30" s="3" t="s">
        <v>203</v>
      </c>
      <c r="E30" s="3" t="s">
        <v>13</v>
      </c>
      <c r="F30" s="3" t="s">
        <v>41</v>
      </c>
      <c r="G30" s="13">
        <v>-5000</v>
      </c>
      <c r="H30" s="7">
        <v>1</v>
      </c>
      <c r="I30" s="4" t="s">
        <v>23</v>
      </c>
    </row>
    <row r="31" spans="1:9" x14ac:dyDescent="0.35">
      <c r="A31" s="3" t="s">
        <v>155</v>
      </c>
      <c r="B31" s="16" t="s">
        <v>190</v>
      </c>
      <c r="C31" s="4" t="s">
        <v>11</v>
      </c>
      <c r="D31" s="3" t="s">
        <v>157</v>
      </c>
      <c r="E31" s="3" t="s">
        <v>13</v>
      </c>
      <c r="F31" s="3" t="s">
        <v>72</v>
      </c>
      <c r="G31" s="13">
        <v>40000</v>
      </c>
      <c r="H31" s="7">
        <v>1</v>
      </c>
      <c r="I31" s="4" t="s">
        <v>16</v>
      </c>
    </row>
    <row r="32" spans="1:9" x14ac:dyDescent="0.35">
      <c r="A32" s="3" t="s">
        <v>159</v>
      </c>
      <c r="B32" s="16" t="s">
        <v>191</v>
      </c>
      <c r="C32" s="4" t="s">
        <v>26</v>
      </c>
      <c r="D32" s="3" t="s">
        <v>161</v>
      </c>
      <c r="E32" s="3" t="s">
        <v>28</v>
      </c>
      <c r="F32" s="3" t="s">
        <v>76</v>
      </c>
      <c r="G32" s="13">
        <v>3000</v>
      </c>
      <c r="H32" s="7">
        <v>1</v>
      </c>
      <c r="I32" s="4" t="s">
        <v>23</v>
      </c>
    </row>
    <row r="33" spans="1:9" x14ac:dyDescent="0.35">
      <c r="A33" s="3" t="s">
        <v>162</v>
      </c>
      <c r="B33" s="16" t="s">
        <v>191</v>
      </c>
      <c r="C33" s="4" t="s">
        <v>33</v>
      </c>
      <c r="D33" s="3" t="s">
        <v>164</v>
      </c>
      <c r="E33" s="3" t="s">
        <v>46</v>
      </c>
      <c r="F33" s="3" t="s">
        <v>47</v>
      </c>
      <c r="G33" s="13">
        <v>2500</v>
      </c>
      <c r="H33" s="7">
        <v>4</v>
      </c>
      <c r="I33" s="4" t="s">
        <v>16</v>
      </c>
    </row>
    <row r="34" spans="1:9" x14ac:dyDescent="0.35">
      <c r="A34" s="3" t="s">
        <v>165</v>
      </c>
      <c r="B34" s="16" t="s">
        <v>192</v>
      </c>
      <c r="C34" s="4" t="s">
        <v>39</v>
      </c>
      <c r="D34" s="3" t="s">
        <v>167</v>
      </c>
      <c r="E34" s="3" t="s">
        <v>13</v>
      </c>
      <c r="F34" s="3" t="s">
        <v>21</v>
      </c>
      <c r="G34" s="13">
        <v>98000</v>
      </c>
      <c r="H34" s="7">
        <v>1</v>
      </c>
      <c r="I34" s="4" t="s">
        <v>16</v>
      </c>
    </row>
    <row r="35" spans="1:9" x14ac:dyDescent="0.35">
      <c r="A35" s="3" t="s">
        <v>169</v>
      </c>
      <c r="B35" s="16" t="s">
        <v>193</v>
      </c>
      <c r="C35" s="4" t="s">
        <v>11</v>
      </c>
      <c r="D35" s="3" t="s">
        <v>204</v>
      </c>
      <c r="E35" s="3" t="s">
        <v>28</v>
      </c>
      <c r="F35" s="3" t="s">
        <v>103</v>
      </c>
      <c r="G35" s="13">
        <v>3800</v>
      </c>
      <c r="H35" s="7">
        <v>1</v>
      </c>
      <c r="I35" s="4" t="s">
        <v>23</v>
      </c>
    </row>
  </sheetData>
  <pageMargins left="0.7" right="0.7" top="0.75" bottom="0.75" header="0.3" footer="0.3"/>
  <pageSetup orientation="portrait" horizontalDpi="0"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workbookViewId="0"/>
  </sheetViews>
  <sheetFormatPr defaultRowHeight="14.5" x14ac:dyDescent="0.35"/>
  <cols>
    <col min="1" max="1" width="10.08984375" customWidth="1"/>
    <col min="2" max="2" width="25.7265625" style="1" bestFit="1" customWidth="1"/>
    <col min="3" max="3" width="9.1796875" style="5" bestFit="1" customWidth="1"/>
    <col min="4" max="4" width="19.08984375" customWidth="1"/>
    <col min="5" max="5" width="10.90625" customWidth="1"/>
    <col min="6" max="6" width="15.36328125" bestFit="1" customWidth="1"/>
    <col min="7" max="7" width="16" style="14" customWidth="1"/>
    <col min="8" max="8" width="10.7265625" style="8" customWidth="1"/>
    <col min="9" max="9" width="10.26953125" style="5" customWidth="1"/>
    <col min="12" max="12" width="12.36328125" customWidth="1"/>
    <col min="13" max="13" width="20.7265625" customWidth="1"/>
  </cols>
  <sheetData>
    <row r="1" spans="1:10" s="2" customFormat="1" ht="15.5" x14ac:dyDescent="0.35">
      <c r="A1" s="9" t="s">
        <v>0</v>
      </c>
      <c r="B1" s="15" t="s">
        <v>173</v>
      </c>
      <c r="C1" s="10" t="s">
        <v>2</v>
      </c>
      <c r="D1" s="9" t="s">
        <v>195</v>
      </c>
      <c r="E1" s="9" t="s">
        <v>4</v>
      </c>
      <c r="F1" s="9" t="s">
        <v>5</v>
      </c>
      <c r="G1" s="12" t="s">
        <v>194</v>
      </c>
      <c r="H1" s="11" t="s">
        <v>7</v>
      </c>
      <c r="I1" s="10" t="s">
        <v>8</v>
      </c>
      <c r="J1" s="2" t="s">
        <v>205</v>
      </c>
    </row>
    <row r="2" spans="1:10" x14ac:dyDescent="0.35">
      <c r="A2" s="3" t="s">
        <v>9</v>
      </c>
      <c r="B2" s="16">
        <v>45662</v>
      </c>
      <c r="C2" s="4" t="s">
        <v>11</v>
      </c>
      <c r="D2" s="3" t="s">
        <v>196</v>
      </c>
      <c r="E2" s="3" t="s">
        <v>13</v>
      </c>
      <c r="F2" s="3" t="s">
        <v>14</v>
      </c>
      <c r="G2" s="13">
        <v>120000</v>
      </c>
      <c r="H2" s="7">
        <v>2</v>
      </c>
      <c r="I2" s="4" t="s">
        <v>16</v>
      </c>
      <c r="J2" t="b">
        <f>ISNUMBER(Table1[[#This Row],[Order Date]])</f>
        <v>1</v>
      </c>
    </row>
    <row r="3" spans="1:10" x14ac:dyDescent="0.35">
      <c r="A3" s="3" t="s">
        <v>17</v>
      </c>
      <c r="B3" s="16">
        <v>45662</v>
      </c>
      <c r="C3" s="4" t="s">
        <v>11</v>
      </c>
      <c r="D3" s="3" t="s">
        <v>20</v>
      </c>
      <c r="E3" s="3" t="s">
        <v>13</v>
      </c>
      <c r="F3" s="3" t="s">
        <v>21</v>
      </c>
      <c r="G3" s="13">
        <v>85000</v>
      </c>
      <c r="H3" s="7">
        <v>1</v>
      </c>
      <c r="I3" s="4" t="s">
        <v>23</v>
      </c>
      <c r="J3" t="b">
        <f>ISNUMBER(Table1[[#This Row],[Order Date]])</f>
        <v>1</v>
      </c>
    </row>
    <row r="4" spans="1:10" x14ac:dyDescent="0.35">
      <c r="A4" s="3" t="s">
        <v>24</v>
      </c>
      <c r="B4" s="16">
        <v>45664</v>
      </c>
      <c r="C4" s="4" t="s">
        <v>26</v>
      </c>
      <c r="D4" s="3" t="s">
        <v>27</v>
      </c>
      <c r="E4" s="3" t="s">
        <v>28</v>
      </c>
      <c r="F4" s="3" t="s">
        <v>29</v>
      </c>
      <c r="G4" s="13">
        <v>45000</v>
      </c>
      <c r="H4" s="7">
        <v>1</v>
      </c>
      <c r="I4" s="4" t="s">
        <v>23</v>
      </c>
      <c r="J4" t="b">
        <f>ISNUMBER(Table1[[#This Row],[Order Date]])</f>
        <v>1</v>
      </c>
    </row>
    <row r="5" spans="1:10" x14ac:dyDescent="0.35">
      <c r="A5" s="3" t="s">
        <v>31</v>
      </c>
      <c r="B5" s="16">
        <v>45665</v>
      </c>
      <c r="C5" s="4" t="s">
        <v>33</v>
      </c>
      <c r="D5" s="3" t="s">
        <v>197</v>
      </c>
      <c r="E5" s="3" t="s">
        <v>28</v>
      </c>
      <c r="F5" s="3" t="s">
        <v>35</v>
      </c>
      <c r="G5" s="13">
        <v>15000</v>
      </c>
      <c r="H5" s="7">
        <v>2</v>
      </c>
      <c r="I5" s="4" t="s">
        <v>16</v>
      </c>
      <c r="J5" t="b">
        <f>ISNUMBER(Table1[[#This Row],[Order Date]])</f>
        <v>1</v>
      </c>
    </row>
    <row r="6" spans="1:10" x14ac:dyDescent="0.35">
      <c r="A6" s="3" t="s">
        <v>37</v>
      </c>
      <c r="B6" s="16">
        <v>45665</v>
      </c>
      <c r="C6" s="4" t="s">
        <v>39</v>
      </c>
      <c r="D6" s="3" t="s">
        <v>40</v>
      </c>
      <c r="E6" s="3" t="s">
        <v>13</v>
      </c>
      <c r="F6" s="3" t="s">
        <v>41</v>
      </c>
      <c r="G6" s="13">
        <v>8000</v>
      </c>
      <c r="H6" s="7">
        <v>3</v>
      </c>
      <c r="I6" s="4" t="s">
        <v>16</v>
      </c>
      <c r="J6" t="b">
        <f>ISNUMBER(Table1[[#This Row],[Order Date]])</f>
        <v>1</v>
      </c>
    </row>
    <row r="7" spans="1:10" x14ac:dyDescent="0.35">
      <c r="A7" s="3" t="s">
        <v>43</v>
      </c>
      <c r="B7" s="16">
        <v>45667</v>
      </c>
      <c r="C7" s="4" t="s">
        <v>11</v>
      </c>
      <c r="D7" s="3" t="s">
        <v>45</v>
      </c>
      <c r="E7" s="3" t="s">
        <v>46</v>
      </c>
      <c r="F7" s="3" t="s">
        <v>47</v>
      </c>
      <c r="G7" s="13">
        <v>2500</v>
      </c>
      <c r="H7" s="7">
        <v>5</v>
      </c>
      <c r="I7" s="4" t="s">
        <v>23</v>
      </c>
      <c r="J7" t="b">
        <f>ISNUMBER(Table1[[#This Row],[Order Date]])</f>
        <v>1</v>
      </c>
    </row>
    <row r="8" spans="1:10" x14ac:dyDescent="0.35">
      <c r="A8" s="3" t="s">
        <v>49</v>
      </c>
      <c r="B8" s="16">
        <v>45668</v>
      </c>
      <c r="C8" s="4" t="s">
        <v>11</v>
      </c>
      <c r="D8" s="3" t="s">
        <v>52</v>
      </c>
      <c r="E8" s="3" t="s">
        <v>46</v>
      </c>
      <c r="F8" s="3" t="s">
        <v>53</v>
      </c>
      <c r="G8" s="13">
        <v>5500</v>
      </c>
      <c r="H8" s="7">
        <v>2</v>
      </c>
      <c r="I8" s="4" t="s">
        <v>16</v>
      </c>
      <c r="J8" t="b">
        <f>ISNUMBER(Table1[[#This Row],[Order Date]])</f>
        <v>1</v>
      </c>
    </row>
    <row r="9" spans="1:10" x14ac:dyDescent="0.35">
      <c r="A9" s="3" t="s">
        <v>55</v>
      </c>
      <c r="B9" s="16">
        <v>45668</v>
      </c>
      <c r="C9" s="4" t="s">
        <v>26</v>
      </c>
      <c r="D9" s="3" t="s">
        <v>57</v>
      </c>
      <c r="E9" s="3" t="s">
        <v>46</v>
      </c>
      <c r="F9" s="3" t="s">
        <v>58</v>
      </c>
      <c r="G9" s="13">
        <v>6500</v>
      </c>
      <c r="H9" s="7">
        <v>1</v>
      </c>
      <c r="I9" s="4" t="s">
        <v>23</v>
      </c>
      <c r="J9" t="b">
        <f>ISNUMBER(Table1[[#This Row],[Order Date]])</f>
        <v>1</v>
      </c>
    </row>
    <row r="10" spans="1:10" x14ac:dyDescent="0.35">
      <c r="A10" s="3" t="s">
        <v>60</v>
      </c>
      <c r="B10" s="16">
        <v>45669</v>
      </c>
      <c r="C10" s="4" t="s">
        <v>33</v>
      </c>
      <c r="D10" s="3" t="s">
        <v>198</v>
      </c>
      <c r="E10" s="3" t="s">
        <v>13</v>
      </c>
      <c r="F10" s="3" t="s">
        <v>14</v>
      </c>
      <c r="G10" s="13">
        <v>118000</v>
      </c>
      <c r="H10" s="7">
        <v>1</v>
      </c>
      <c r="I10" s="4" t="s">
        <v>16</v>
      </c>
      <c r="J10" t="b">
        <f>ISNUMBER(Table1[[#This Row],[Order Date]])</f>
        <v>1</v>
      </c>
    </row>
    <row r="11" spans="1:10" x14ac:dyDescent="0.35">
      <c r="A11" s="3" t="s">
        <v>64</v>
      </c>
      <c r="B11" s="16">
        <v>45670</v>
      </c>
      <c r="C11" s="4" t="s">
        <v>39</v>
      </c>
      <c r="D11" s="3" t="s">
        <v>66</v>
      </c>
      <c r="E11" s="3" t="s">
        <v>28</v>
      </c>
      <c r="F11" s="3" t="s">
        <v>67</v>
      </c>
      <c r="G11" s="13">
        <v>3500</v>
      </c>
      <c r="H11" s="7">
        <v>2</v>
      </c>
      <c r="I11" s="4" t="s">
        <v>23</v>
      </c>
      <c r="J11" t="b">
        <f>ISNUMBER(Table1[[#This Row],[Order Date]])</f>
        <v>1</v>
      </c>
    </row>
    <row r="12" spans="1:10" x14ac:dyDescent="0.35">
      <c r="A12" s="3" t="s">
        <v>69</v>
      </c>
      <c r="B12" s="16">
        <v>45671</v>
      </c>
      <c r="C12" s="4" t="s">
        <v>11</v>
      </c>
      <c r="D12" s="3" t="s">
        <v>71</v>
      </c>
      <c r="E12" s="6" t="s">
        <v>13</v>
      </c>
      <c r="F12" s="3" t="s">
        <v>72</v>
      </c>
      <c r="G12" s="13" t="e">
        <v>#VALUE!</v>
      </c>
      <c r="H12" s="7">
        <v>4</v>
      </c>
      <c r="I12" s="4" t="s">
        <v>16</v>
      </c>
      <c r="J12" t="b">
        <f>ISNUMBER(Table1[[#This Row],[Order Date]])</f>
        <v>1</v>
      </c>
    </row>
    <row r="13" spans="1:10" x14ac:dyDescent="0.35">
      <c r="A13" s="3" t="s">
        <v>73</v>
      </c>
      <c r="B13" s="16">
        <v>45671</v>
      </c>
      <c r="C13" s="4" t="s">
        <v>26</v>
      </c>
      <c r="D13" s="3" t="s">
        <v>75</v>
      </c>
      <c r="E13" s="3" t="s">
        <v>28</v>
      </c>
      <c r="F13" s="3" t="s">
        <v>76</v>
      </c>
      <c r="G13" s="13">
        <v>2800</v>
      </c>
      <c r="H13" s="7">
        <v>1</v>
      </c>
      <c r="I13" s="4" t="s">
        <v>16</v>
      </c>
      <c r="J13" t="b">
        <f>ISNUMBER(Table1[[#This Row],[Order Date]])</f>
        <v>1</v>
      </c>
    </row>
    <row r="14" spans="1:10" x14ac:dyDescent="0.35">
      <c r="A14" s="3" t="s">
        <v>78</v>
      </c>
      <c r="B14" s="16">
        <v>45672</v>
      </c>
      <c r="C14" s="4" t="s">
        <v>33</v>
      </c>
      <c r="D14" s="3" t="s">
        <v>80</v>
      </c>
      <c r="E14" s="3" t="s">
        <v>46</v>
      </c>
      <c r="F14" s="3" t="s">
        <v>81</v>
      </c>
      <c r="G14" s="13">
        <v>3000</v>
      </c>
      <c r="H14" s="7">
        <v>3</v>
      </c>
      <c r="I14" s="4" t="s">
        <v>23</v>
      </c>
      <c r="J14" t="b">
        <f>ISNUMBER(Table1[[#This Row],[Order Date]])</f>
        <v>1</v>
      </c>
    </row>
    <row r="15" spans="1:10" x14ac:dyDescent="0.35">
      <c r="A15" s="3" t="s">
        <v>83</v>
      </c>
      <c r="B15" s="16">
        <v>45673</v>
      </c>
      <c r="C15" s="4" t="s">
        <v>39</v>
      </c>
      <c r="D15" s="3" t="s">
        <v>199</v>
      </c>
      <c r="E15" s="3" t="s">
        <v>13</v>
      </c>
      <c r="F15" s="3" t="s">
        <v>21</v>
      </c>
      <c r="G15" s="13">
        <v>95000</v>
      </c>
      <c r="H15" s="7">
        <v>1</v>
      </c>
      <c r="I15" s="4" t="s">
        <v>16</v>
      </c>
      <c r="J15" t="b">
        <f>ISNUMBER(Table1[[#This Row],[Order Date]])</f>
        <v>1</v>
      </c>
    </row>
    <row r="16" spans="1:10" x14ac:dyDescent="0.35">
      <c r="A16" s="3" t="s">
        <v>87</v>
      </c>
      <c r="B16" s="16">
        <v>45673</v>
      </c>
      <c r="C16" s="4" t="s">
        <v>11</v>
      </c>
      <c r="D16" s="3" t="s">
        <v>89</v>
      </c>
      <c r="E16" s="3" t="s">
        <v>28</v>
      </c>
      <c r="F16" s="3" t="s">
        <v>149</v>
      </c>
      <c r="G16" s="13">
        <v>22000</v>
      </c>
      <c r="H16" s="7">
        <v>1</v>
      </c>
      <c r="I16" s="4" t="s">
        <v>23</v>
      </c>
      <c r="J16" t="b">
        <f>ISNUMBER(Table1[[#This Row],[Order Date]])</f>
        <v>1</v>
      </c>
    </row>
    <row r="17" spans="1:10" x14ac:dyDescent="0.35">
      <c r="A17" s="3" t="s">
        <v>92</v>
      </c>
      <c r="B17" s="16">
        <v>45675</v>
      </c>
      <c r="C17" s="4" t="s">
        <v>26</v>
      </c>
      <c r="D17" s="3" t="s">
        <v>94</v>
      </c>
      <c r="E17" s="3" t="s">
        <v>13</v>
      </c>
      <c r="F17" s="3" t="s">
        <v>14</v>
      </c>
      <c r="G17" s="13">
        <v>110000</v>
      </c>
      <c r="H17" s="7">
        <v>1</v>
      </c>
      <c r="I17" s="4" t="s">
        <v>16</v>
      </c>
      <c r="J17" t="b">
        <f>ISNUMBER(Table1[[#This Row],[Order Date]])</f>
        <v>1</v>
      </c>
    </row>
    <row r="18" spans="1:10" x14ac:dyDescent="0.35">
      <c r="A18" s="3" t="s">
        <v>96</v>
      </c>
      <c r="B18" s="16">
        <v>45675</v>
      </c>
      <c r="C18" s="4" t="s">
        <v>33</v>
      </c>
      <c r="D18" s="3" t="s">
        <v>97</v>
      </c>
      <c r="E18" s="3" t="s">
        <v>46</v>
      </c>
      <c r="F18" s="3" t="s">
        <v>98</v>
      </c>
      <c r="G18" s="13">
        <v>2700</v>
      </c>
      <c r="H18" s="7">
        <v>2</v>
      </c>
      <c r="I18" s="4" t="s">
        <v>23</v>
      </c>
      <c r="J18" t="b">
        <f>ISNUMBER(Table1[[#This Row],[Order Date]])</f>
        <v>1</v>
      </c>
    </row>
    <row r="19" spans="1:10" x14ac:dyDescent="0.35">
      <c r="A19" s="3" t="s">
        <v>100</v>
      </c>
      <c r="B19" s="16">
        <v>45675</v>
      </c>
      <c r="C19" s="4" t="s">
        <v>39</v>
      </c>
      <c r="D19" s="3" t="s">
        <v>102</v>
      </c>
      <c r="E19" s="3" t="s">
        <v>28</v>
      </c>
      <c r="F19" s="3" t="s">
        <v>103</v>
      </c>
      <c r="G19" s="13">
        <v>4000</v>
      </c>
      <c r="H19" s="7">
        <v>1</v>
      </c>
      <c r="I19" s="4" t="s">
        <v>16</v>
      </c>
      <c r="J19" t="b">
        <f>ISNUMBER(Table1[[#This Row],[Order Date]])</f>
        <v>1</v>
      </c>
    </row>
    <row r="20" spans="1:10" x14ac:dyDescent="0.35">
      <c r="A20" s="3" t="s">
        <v>105</v>
      </c>
      <c r="B20" s="16">
        <v>45677</v>
      </c>
      <c r="C20" s="4" t="s">
        <v>11</v>
      </c>
      <c r="D20" s="3" t="s">
        <v>200</v>
      </c>
      <c r="E20" s="3" t="s">
        <v>13</v>
      </c>
      <c r="F20" s="3" t="s">
        <v>41</v>
      </c>
      <c r="G20" s="13">
        <v>7500</v>
      </c>
      <c r="H20" s="7">
        <v>2</v>
      </c>
      <c r="I20" s="4" t="s">
        <v>16</v>
      </c>
      <c r="J20" t="b">
        <f>ISNUMBER(Table1[[#This Row],[Order Date]])</f>
        <v>1</v>
      </c>
    </row>
    <row r="21" spans="1:10" x14ac:dyDescent="0.35">
      <c r="A21" s="3" t="s">
        <v>109</v>
      </c>
      <c r="B21" s="16">
        <v>45678</v>
      </c>
      <c r="C21" s="4" t="s">
        <v>26</v>
      </c>
      <c r="D21" s="3" t="s">
        <v>111</v>
      </c>
      <c r="E21" s="3" t="s">
        <v>28</v>
      </c>
      <c r="F21" s="3" t="s">
        <v>29</v>
      </c>
      <c r="G21" s="13">
        <v>47000</v>
      </c>
      <c r="H21" s="7">
        <v>1</v>
      </c>
      <c r="I21" s="4" t="s">
        <v>23</v>
      </c>
      <c r="J21" t="b">
        <f>ISNUMBER(Table1[[#This Row],[Order Date]])</f>
        <v>1</v>
      </c>
    </row>
    <row r="22" spans="1:10" x14ac:dyDescent="0.35">
      <c r="A22" s="3" t="s">
        <v>113</v>
      </c>
      <c r="B22" s="16">
        <v>45679</v>
      </c>
      <c r="C22" s="4" t="s">
        <v>33</v>
      </c>
      <c r="D22" s="3" t="s">
        <v>115</v>
      </c>
      <c r="E22" s="3" t="s">
        <v>13</v>
      </c>
      <c r="F22" s="3" t="s">
        <v>72</v>
      </c>
      <c r="G22" s="13">
        <v>39000</v>
      </c>
      <c r="H22" s="7">
        <v>1</v>
      </c>
      <c r="I22" s="4" t="s">
        <v>16</v>
      </c>
      <c r="J22" t="b">
        <f>ISNUMBER(Table1[[#This Row],[Order Date]])</f>
        <v>1</v>
      </c>
    </row>
    <row r="23" spans="1:10" x14ac:dyDescent="0.35">
      <c r="A23" s="3" t="s">
        <v>117</v>
      </c>
      <c r="B23" s="16">
        <v>45679</v>
      </c>
      <c r="C23" s="4" t="s">
        <v>39</v>
      </c>
      <c r="D23" s="3" t="s">
        <v>119</v>
      </c>
      <c r="E23" s="3" t="s">
        <v>46</v>
      </c>
      <c r="F23" s="3" t="s">
        <v>120</v>
      </c>
      <c r="G23" s="13">
        <v>6800</v>
      </c>
      <c r="H23" s="7">
        <v>1</v>
      </c>
      <c r="I23" s="4" t="s">
        <v>23</v>
      </c>
      <c r="J23" t="b">
        <f>ISNUMBER(Table1[[#This Row],[Order Date]])</f>
        <v>1</v>
      </c>
    </row>
    <row r="24" spans="1:10" x14ac:dyDescent="0.35">
      <c r="A24" s="3" t="s">
        <v>122</v>
      </c>
      <c r="B24" s="16">
        <v>45680</v>
      </c>
      <c r="C24" s="4" t="s">
        <v>11</v>
      </c>
      <c r="D24" s="3" t="s">
        <v>201</v>
      </c>
      <c r="E24" s="3" t="s">
        <v>28</v>
      </c>
      <c r="F24" s="3" t="s">
        <v>67</v>
      </c>
      <c r="G24" s="13">
        <v>3200</v>
      </c>
      <c r="H24" s="7">
        <v>2</v>
      </c>
      <c r="I24" s="4" t="s">
        <v>16</v>
      </c>
      <c r="J24" t="b">
        <f>ISNUMBER(Table1[[#This Row],[Order Date]])</f>
        <v>1</v>
      </c>
    </row>
    <row r="25" spans="1:10" x14ac:dyDescent="0.35">
      <c r="A25" s="3" t="s">
        <v>126</v>
      </c>
      <c r="B25" s="16">
        <v>45681</v>
      </c>
      <c r="C25" s="4" t="s">
        <v>26</v>
      </c>
      <c r="D25" s="3" t="s">
        <v>128</v>
      </c>
      <c r="E25" s="3" t="s">
        <v>13</v>
      </c>
      <c r="F25" s="3" t="s">
        <v>21</v>
      </c>
      <c r="G25" s="13">
        <v>102000</v>
      </c>
      <c r="H25" s="7">
        <v>1</v>
      </c>
      <c r="I25" s="4" t="s">
        <v>16</v>
      </c>
      <c r="J25" t="b">
        <f>ISNUMBER(Table1[[#This Row],[Order Date]])</f>
        <v>1</v>
      </c>
    </row>
    <row r="26" spans="1:10" x14ac:dyDescent="0.35">
      <c r="A26" s="3" t="s">
        <v>130</v>
      </c>
      <c r="B26" s="16">
        <v>45681</v>
      </c>
      <c r="C26" s="4" t="s">
        <v>33</v>
      </c>
      <c r="D26" s="3" t="s">
        <v>132</v>
      </c>
      <c r="E26" s="3" t="s">
        <v>28</v>
      </c>
      <c r="F26" s="3" t="s">
        <v>35</v>
      </c>
      <c r="G26" s="13">
        <v>16000</v>
      </c>
      <c r="H26" s="7">
        <v>1</v>
      </c>
      <c r="I26" s="4" t="s">
        <v>23</v>
      </c>
      <c r="J26" t="b">
        <f>ISNUMBER(Table1[[#This Row],[Order Date]])</f>
        <v>1</v>
      </c>
    </row>
    <row r="27" spans="1:10" x14ac:dyDescent="0.35">
      <c r="A27" s="3" t="s">
        <v>134</v>
      </c>
      <c r="B27" s="16">
        <v>45682</v>
      </c>
      <c r="C27" s="4" t="s">
        <v>39</v>
      </c>
      <c r="D27" s="3" t="s">
        <v>202</v>
      </c>
      <c r="E27" s="3" t="s">
        <v>13</v>
      </c>
      <c r="F27" s="3" t="s">
        <v>14</v>
      </c>
      <c r="G27" s="13">
        <v>115000</v>
      </c>
      <c r="H27" s="7">
        <v>1</v>
      </c>
      <c r="I27" s="4" t="s">
        <v>16</v>
      </c>
      <c r="J27" t="b">
        <f>ISNUMBER(Table1[[#This Row],[Order Date]])</f>
        <v>1</v>
      </c>
    </row>
    <row r="28" spans="1:10" x14ac:dyDescent="0.35">
      <c r="A28" s="3" t="s">
        <v>138</v>
      </c>
      <c r="B28" s="16">
        <v>45683</v>
      </c>
      <c r="C28" s="4" t="s">
        <v>11</v>
      </c>
      <c r="D28" s="3" t="s">
        <v>140</v>
      </c>
      <c r="E28" s="3" t="s">
        <v>46</v>
      </c>
      <c r="F28" s="3" t="s">
        <v>53</v>
      </c>
      <c r="G28" s="13">
        <v>5600</v>
      </c>
      <c r="H28" s="7">
        <v>2</v>
      </c>
      <c r="I28" s="4" t="s">
        <v>23</v>
      </c>
      <c r="J28" t="b">
        <f>ISNUMBER(Table1[[#This Row],[Order Date]])</f>
        <v>1</v>
      </c>
    </row>
    <row r="29" spans="1:10" x14ac:dyDescent="0.35">
      <c r="A29" s="3" t="s">
        <v>142</v>
      </c>
      <c r="B29" s="16">
        <v>45684</v>
      </c>
      <c r="C29" s="4" t="s">
        <v>26</v>
      </c>
      <c r="D29" s="3" t="s">
        <v>144</v>
      </c>
      <c r="E29" s="3" t="s">
        <v>46</v>
      </c>
      <c r="F29" s="3" t="s">
        <v>58</v>
      </c>
      <c r="G29" s="13">
        <v>6500</v>
      </c>
      <c r="H29" s="7">
        <v>1</v>
      </c>
      <c r="I29" s="4" t="s">
        <v>16</v>
      </c>
      <c r="J29" t="b">
        <f>ISNUMBER(Table1[[#This Row],[Order Date]])</f>
        <v>1</v>
      </c>
    </row>
    <row r="30" spans="1:10" x14ac:dyDescent="0.35">
      <c r="A30" s="3" t="s">
        <v>146</v>
      </c>
      <c r="B30" s="16">
        <v>45685</v>
      </c>
      <c r="C30" s="4" t="s">
        <v>33</v>
      </c>
      <c r="D30" s="3" t="s">
        <v>148</v>
      </c>
      <c r="E30" s="3" t="s">
        <v>28</v>
      </c>
      <c r="F30" s="3" t="s">
        <v>149</v>
      </c>
      <c r="G30" s="13">
        <v>21000</v>
      </c>
      <c r="H30" s="7">
        <v>1</v>
      </c>
      <c r="I30" s="4" t="s">
        <v>16</v>
      </c>
      <c r="J30" t="b">
        <f>ISNUMBER(Table1[[#This Row],[Order Date]])</f>
        <v>1</v>
      </c>
    </row>
    <row r="31" spans="1:10" x14ac:dyDescent="0.35">
      <c r="A31" s="3" t="s">
        <v>151</v>
      </c>
      <c r="B31" s="16">
        <v>45685</v>
      </c>
      <c r="C31" s="4" t="s">
        <v>39</v>
      </c>
      <c r="D31" s="3" t="s">
        <v>203</v>
      </c>
      <c r="E31" s="3" t="s">
        <v>13</v>
      </c>
      <c r="F31" s="3" t="s">
        <v>41</v>
      </c>
      <c r="G31" s="13">
        <v>-5000</v>
      </c>
      <c r="H31" s="7">
        <v>1</v>
      </c>
      <c r="I31" s="4" t="s">
        <v>23</v>
      </c>
      <c r="J31" t="b">
        <f>ISNUMBER(Table1[[#This Row],[Order Date]])</f>
        <v>1</v>
      </c>
    </row>
    <row r="32" spans="1:10" x14ac:dyDescent="0.35">
      <c r="A32" s="3" t="s">
        <v>155</v>
      </c>
      <c r="B32" s="16">
        <v>45686</v>
      </c>
      <c r="C32" s="4" t="s">
        <v>11</v>
      </c>
      <c r="D32" s="3" t="s">
        <v>157</v>
      </c>
      <c r="E32" s="3" t="s">
        <v>13</v>
      </c>
      <c r="F32" s="3" t="s">
        <v>72</v>
      </c>
      <c r="G32" s="13">
        <v>40000</v>
      </c>
      <c r="H32" s="7">
        <v>1</v>
      </c>
      <c r="I32" s="4" t="s">
        <v>16</v>
      </c>
      <c r="J32" t="b">
        <f>ISNUMBER(Table1[[#This Row],[Order Date]])</f>
        <v>1</v>
      </c>
    </row>
    <row r="33" spans="1:10" x14ac:dyDescent="0.35">
      <c r="A33" s="3" t="s">
        <v>159</v>
      </c>
      <c r="B33" s="16">
        <v>45687</v>
      </c>
      <c r="C33" s="4" t="s">
        <v>26</v>
      </c>
      <c r="D33" s="3" t="s">
        <v>161</v>
      </c>
      <c r="E33" s="3" t="s">
        <v>28</v>
      </c>
      <c r="F33" s="3" t="s">
        <v>76</v>
      </c>
      <c r="G33" s="13">
        <v>3000</v>
      </c>
      <c r="H33" s="7">
        <v>1</v>
      </c>
      <c r="I33" s="4" t="s">
        <v>23</v>
      </c>
      <c r="J33" t="b">
        <f>ISNUMBER(Table1[[#This Row],[Order Date]])</f>
        <v>1</v>
      </c>
    </row>
    <row r="34" spans="1:10" x14ac:dyDescent="0.35">
      <c r="A34" s="3" t="s">
        <v>162</v>
      </c>
      <c r="B34" s="16">
        <v>45687</v>
      </c>
      <c r="C34" s="4" t="s">
        <v>33</v>
      </c>
      <c r="D34" s="3" t="s">
        <v>164</v>
      </c>
      <c r="E34" s="3" t="s">
        <v>46</v>
      </c>
      <c r="F34" s="3" t="s">
        <v>47</v>
      </c>
      <c r="G34" s="13">
        <v>2500</v>
      </c>
      <c r="H34" s="7">
        <v>4</v>
      </c>
      <c r="I34" s="4" t="s">
        <v>16</v>
      </c>
      <c r="J34" t="b">
        <f>ISNUMBER(Table1[[#This Row],[Order Date]])</f>
        <v>1</v>
      </c>
    </row>
    <row r="35" spans="1:10" x14ac:dyDescent="0.35">
      <c r="A35" s="3" t="s">
        <v>165</v>
      </c>
      <c r="B35" s="16">
        <v>45688</v>
      </c>
      <c r="C35" s="4" t="s">
        <v>39</v>
      </c>
      <c r="D35" s="3" t="s">
        <v>167</v>
      </c>
      <c r="E35" s="3" t="s">
        <v>13</v>
      </c>
      <c r="F35" s="3" t="s">
        <v>21</v>
      </c>
      <c r="G35" s="13">
        <v>98000</v>
      </c>
      <c r="H35" s="7">
        <v>1</v>
      </c>
      <c r="I35" s="4" t="s">
        <v>16</v>
      </c>
      <c r="J35" t="b">
        <f>ISNUMBER(Table1[[#This Row],[Order Date]])</f>
        <v>1</v>
      </c>
    </row>
    <row r="36" spans="1:10" x14ac:dyDescent="0.35">
      <c r="A36" s="3" t="s">
        <v>169</v>
      </c>
      <c r="B36" s="16">
        <v>45689</v>
      </c>
      <c r="C36" s="4" t="s">
        <v>11</v>
      </c>
      <c r="D36" s="3" t="s">
        <v>204</v>
      </c>
      <c r="E36" s="3" t="s">
        <v>28</v>
      </c>
      <c r="F36" s="3" t="s">
        <v>103</v>
      </c>
      <c r="G36" s="13">
        <v>3800</v>
      </c>
      <c r="H36" s="7">
        <v>1</v>
      </c>
      <c r="I36" s="4" t="s">
        <v>23</v>
      </c>
      <c r="J36" t="b">
        <f>ISNUMBER(Table1[[#This Row],[Order Date]])</f>
        <v>1</v>
      </c>
    </row>
  </sheetData>
  <pageMargins left="0.7" right="0.7" top="0.75" bottom="0.75" header="0.3" footer="0.3"/>
  <pageSetup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UrbanMart Sales Jan 2025(Orig)</vt:lpstr>
      <vt:lpstr>Cleaned Data</vt:lpstr>
      <vt:lpstr>Cleaned_Data</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 User</cp:lastModifiedBy>
  <dcterms:created xsi:type="dcterms:W3CDTF">2025-12-24T19:54:16Z</dcterms:created>
  <dcterms:modified xsi:type="dcterms:W3CDTF">2026-03-18T17:17:03Z</dcterms:modified>
</cp:coreProperties>
</file>